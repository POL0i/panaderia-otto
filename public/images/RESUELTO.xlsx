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C58FF57-8346-46B2-98DD-2BE207EEC0A4}" xr6:coauthVersionLast="36" xr6:coauthVersionMax="36" xr10:uidLastSave="{00000000-0000-0000-0000-000000000000}"/>
  <bookViews>
    <workbookView xWindow="0" yWindow="0" windowWidth="16457" windowHeight="6326" activeTab="3" xr2:uid="{00000000-000D-0000-FFFF-FFFF00000000}"/>
  </bookViews>
  <sheets>
    <sheet name="MEMORIA DB" sheetId="1" r:id="rId1"/>
    <sheet name="MEMORIA DW" sheetId="2" r:id="rId2"/>
    <sheet name="MEMORIA DD" sheetId="3" r:id="rId3"/>
    <sheet name="MEMORIA DQ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2" i="3" l="1"/>
  <c r="AH22" i="3"/>
  <c r="AG22" i="3"/>
  <c r="AF22" i="3" s="1"/>
  <c r="AE22" i="3" s="1"/>
  <c r="AD22" i="3" s="1"/>
  <c r="AC22" i="3" s="1"/>
  <c r="AB22" i="3" s="1"/>
  <c r="AA22" i="3" s="1"/>
  <c r="Z22" i="3" s="1"/>
  <c r="Y22" i="3" s="1"/>
  <c r="X22" i="3" s="1"/>
  <c r="W22" i="3" s="1"/>
  <c r="V22" i="3" s="1"/>
  <c r="U22" i="3" s="1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 s="1"/>
  <c r="U21" i="3" s="1"/>
  <c r="AI14" i="3"/>
  <c r="AH14" i="3"/>
  <c r="AG14" i="3"/>
  <c r="AF14" i="3"/>
  <c r="AE14" i="3"/>
  <c r="AD14" i="3"/>
  <c r="AC14" i="3"/>
  <c r="AI13" i="3"/>
  <c r="AH13" i="3" s="1"/>
  <c r="AG13" i="3" s="1"/>
  <c r="AF13" i="3" s="1"/>
  <c r="AE13" i="3" s="1"/>
  <c r="AD13" i="3" s="1"/>
  <c r="AC13" i="3" s="1"/>
  <c r="S22" i="2" l="1"/>
  <c r="R22" i="2"/>
  <c r="Q22" i="2"/>
  <c r="P22" i="2" s="1"/>
  <c r="O22" i="2" s="1"/>
  <c r="N22" i="2" s="1"/>
  <c r="M22" i="2" s="1"/>
  <c r="L22" i="2" s="1"/>
  <c r="K22" i="2" s="1"/>
  <c r="J22" i="2" s="1"/>
  <c r="I22" i="2" s="1"/>
  <c r="H22" i="2" s="1"/>
  <c r="G22" i="2" s="1"/>
  <c r="F22" i="2" s="1"/>
  <c r="E22" i="2" s="1"/>
  <c r="S21" i="2"/>
  <c r="R21" i="2"/>
  <c r="Q21" i="2"/>
  <c r="P21" i="2"/>
  <c r="O21" i="2"/>
  <c r="N21" i="2"/>
  <c r="M21" i="2"/>
  <c r="L21" i="2"/>
  <c r="K21" i="2" s="1"/>
  <c r="J21" i="2" s="1"/>
  <c r="I21" i="2" s="1"/>
  <c r="H21" i="2" s="1"/>
  <c r="G21" i="2" s="1"/>
  <c r="F21" i="2" s="1"/>
  <c r="E21" i="2" s="1"/>
  <c r="U19" i="2"/>
  <c r="S18" i="2"/>
  <c r="R18" i="2"/>
  <c r="Q18" i="2"/>
  <c r="P18" i="2"/>
  <c r="O18" i="2"/>
  <c r="N18" i="2" s="1"/>
  <c r="M18" i="2" s="1"/>
  <c r="L18" i="2" s="1"/>
  <c r="K18" i="2" s="1"/>
  <c r="J18" i="2" s="1"/>
  <c r="I18" i="2" s="1"/>
  <c r="H18" i="2" s="1"/>
  <c r="G18" i="2" s="1"/>
  <c r="F18" i="2" s="1"/>
  <c r="E18" i="2" s="1"/>
  <c r="S17" i="2"/>
  <c r="R17" i="2"/>
  <c r="Q17" i="2"/>
  <c r="P17" i="2"/>
  <c r="O17" i="2" s="1"/>
  <c r="N17" i="2" s="1"/>
  <c r="M17" i="2" s="1"/>
  <c r="L17" i="2" s="1"/>
  <c r="K17" i="2" s="1"/>
  <c r="J17" i="2" s="1"/>
  <c r="I17" i="2" s="1"/>
  <c r="H17" i="2" s="1"/>
  <c r="G17" i="2" s="1"/>
  <c r="F17" i="2" s="1"/>
  <c r="E17" i="2" s="1"/>
  <c r="BO7" i="4" l="1"/>
  <c r="BN7" i="4" s="1"/>
  <c r="BM7" i="4" s="1"/>
  <c r="BL7" i="4" s="1"/>
  <c r="BK7" i="4" s="1"/>
  <c r="BJ7" i="4" s="1"/>
  <c r="BI7" i="4" s="1"/>
  <c r="BH7" i="4" s="1"/>
  <c r="BG7" i="4" s="1"/>
  <c r="BF7" i="4" s="1"/>
  <c r="BE7" i="4" s="1"/>
  <c r="BD7" i="4" s="1"/>
  <c r="BC7" i="4" s="1"/>
  <c r="BB7" i="4" s="1"/>
  <c r="BA7" i="4" s="1"/>
  <c r="AZ7" i="4" s="1"/>
  <c r="AY7" i="4" s="1"/>
  <c r="AX7" i="4" s="1"/>
  <c r="AW7" i="4" s="1"/>
  <c r="AV7" i="4" s="1"/>
  <c r="AU7" i="4" s="1"/>
  <c r="AT7" i="4" s="1"/>
  <c r="AS7" i="4" s="1"/>
  <c r="AR7" i="4" s="1"/>
  <c r="AQ7" i="4" s="1"/>
  <c r="AP7" i="4" s="1"/>
  <c r="AO7" i="4" s="1"/>
  <c r="AN7" i="4" s="1"/>
  <c r="AM7" i="4" s="1"/>
  <c r="AL7" i="4" s="1"/>
  <c r="AK7" i="4" s="1"/>
  <c r="AJ7" i="4" s="1"/>
  <c r="AI7" i="4" s="1"/>
  <c r="AH7" i="4" s="1"/>
  <c r="AG7" i="4" s="1"/>
  <c r="AF7" i="4" s="1"/>
  <c r="AE7" i="4" s="1"/>
  <c r="AD7" i="4" s="1"/>
  <c r="AC7" i="4" s="1"/>
  <c r="AB7" i="4" s="1"/>
  <c r="AA7" i="4" s="1"/>
  <c r="Z7" i="4" s="1"/>
  <c r="Y7" i="4" s="1"/>
  <c r="X7" i="4" s="1"/>
  <c r="W7" i="4" s="1"/>
  <c r="V7" i="4" s="1"/>
  <c r="U7" i="4" s="1"/>
  <c r="T7" i="4" s="1"/>
  <c r="S7" i="4" s="1"/>
  <c r="R7" i="4" s="1"/>
  <c r="Q7" i="4" s="1"/>
  <c r="P7" i="4" s="1"/>
  <c r="O7" i="4" s="1"/>
  <c r="N7" i="4" s="1"/>
  <c r="M7" i="4" s="1"/>
  <c r="L7" i="4" s="1"/>
  <c r="K7" i="4" s="1"/>
  <c r="J7" i="4" s="1"/>
  <c r="I7" i="4" s="1"/>
  <c r="H7" i="4" s="1"/>
  <c r="G7" i="4" s="1"/>
  <c r="F7" i="4" s="1"/>
  <c r="E7" i="4" s="1"/>
  <c r="BO6" i="4"/>
  <c r="BN6" i="4" s="1"/>
  <c r="BM6" i="4" s="1"/>
  <c r="BL6" i="4" s="1"/>
  <c r="BK6" i="4" s="1"/>
  <c r="BJ6" i="4" s="1"/>
  <c r="BI6" i="4" s="1"/>
  <c r="BH6" i="4" s="1"/>
  <c r="BG6" i="4" s="1"/>
  <c r="BF6" i="4" s="1"/>
  <c r="BE6" i="4" s="1"/>
  <c r="BD6" i="4" s="1"/>
  <c r="BC6" i="4" s="1"/>
  <c r="BB6" i="4" s="1"/>
  <c r="BA6" i="4" s="1"/>
  <c r="AZ6" i="4" s="1"/>
  <c r="AY6" i="4" s="1"/>
  <c r="AX6" i="4" s="1"/>
  <c r="AW6" i="4" s="1"/>
  <c r="AV6" i="4" s="1"/>
  <c r="AU6" i="4" s="1"/>
  <c r="AT6" i="4" s="1"/>
  <c r="AS6" i="4" s="1"/>
  <c r="AR6" i="4" s="1"/>
  <c r="AQ6" i="4" s="1"/>
  <c r="AP6" i="4" s="1"/>
  <c r="AO6" i="4" s="1"/>
  <c r="AN6" i="4" s="1"/>
  <c r="AM6" i="4" s="1"/>
  <c r="AL6" i="4" s="1"/>
  <c r="AK6" i="4" s="1"/>
  <c r="AJ6" i="4" s="1"/>
  <c r="AI6" i="4" s="1"/>
  <c r="AH6" i="4" s="1"/>
  <c r="AG6" i="4" s="1"/>
  <c r="AF6" i="4" s="1"/>
  <c r="AE6" i="4" s="1"/>
  <c r="AD6" i="4" s="1"/>
  <c r="AC6" i="4" s="1"/>
  <c r="AB6" i="4" s="1"/>
  <c r="AA6" i="4" s="1"/>
  <c r="Z6" i="4" s="1"/>
  <c r="Y6" i="4" s="1"/>
  <c r="X6" i="4" s="1"/>
  <c r="W6" i="4" s="1"/>
  <c r="V6" i="4" s="1"/>
  <c r="U6" i="4" s="1"/>
  <c r="T6" i="4" s="1"/>
  <c r="S6" i="4" s="1"/>
  <c r="R6" i="4" s="1"/>
  <c r="Q6" i="4" s="1"/>
  <c r="P6" i="4" s="1"/>
  <c r="O6" i="4" s="1"/>
  <c r="N6" i="4" s="1"/>
  <c r="M6" i="4" s="1"/>
  <c r="L6" i="4" s="1"/>
  <c r="K6" i="4" s="1"/>
  <c r="J6" i="4" s="1"/>
  <c r="I6" i="4" s="1"/>
  <c r="H6" i="4" s="1"/>
  <c r="G6" i="4" s="1"/>
  <c r="F6" i="4" s="1"/>
  <c r="E6" i="4" s="1"/>
  <c r="AI7" i="3"/>
  <c r="AH7" i="3"/>
  <c r="AG7" i="3" s="1"/>
  <c r="AF7" i="3" s="1"/>
  <c r="AE7" i="3" s="1"/>
  <c r="AD7" i="3" s="1"/>
  <c r="AC7" i="3" s="1"/>
  <c r="AB7" i="3" s="1"/>
  <c r="AA7" i="3" s="1"/>
  <c r="Z7" i="3" s="1"/>
  <c r="Y7" i="3" s="1"/>
  <c r="X7" i="3" s="1"/>
  <c r="W7" i="3" s="1"/>
  <c r="V7" i="3" s="1"/>
  <c r="U7" i="3" s="1"/>
  <c r="T7" i="3" s="1"/>
  <c r="S7" i="3" s="1"/>
  <c r="R7" i="3" s="1"/>
  <c r="Q7" i="3" s="1"/>
  <c r="P7" i="3" s="1"/>
  <c r="O7" i="3" s="1"/>
  <c r="N7" i="3" s="1"/>
  <c r="M7" i="3" s="1"/>
  <c r="L7" i="3" s="1"/>
  <c r="K7" i="3" s="1"/>
  <c r="J7" i="3" s="1"/>
  <c r="I7" i="3" s="1"/>
  <c r="H7" i="3" s="1"/>
  <c r="G7" i="3" s="1"/>
  <c r="F7" i="3" s="1"/>
  <c r="E7" i="3" s="1"/>
  <c r="AI6" i="3"/>
  <c r="AH6" i="3"/>
  <c r="AG6" i="3" s="1"/>
  <c r="AF6" i="3" s="1"/>
  <c r="AE6" i="3" s="1"/>
  <c r="AD6" i="3" s="1"/>
  <c r="AC6" i="3" s="1"/>
  <c r="AB6" i="3" s="1"/>
  <c r="AA6" i="3" s="1"/>
  <c r="Z6" i="3" s="1"/>
  <c r="Y6" i="3" s="1"/>
  <c r="X6" i="3" s="1"/>
  <c r="W6" i="3" s="1"/>
  <c r="V6" i="3" s="1"/>
  <c r="U6" i="3" s="1"/>
  <c r="T6" i="3" s="1"/>
  <c r="S6" i="3" s="1"/>
  <c r="R6" i="3" s="1"/>
  <c r="Q6" i="3" s="1"/>
  <c r="P6" i="3" s="1"/>
  <c r="O6" i="3" s="1"/>
  <c r="N6" i="3" s="1"/>
  <c r="M6" i="3" s="1"/>
  <c r="L6" i="3" s="1"/>
  <c r="K6" i="3" s="1"/>
  <c r="J6" i="3" s="1"/>
  <c r="I6" i="3" s="1"/>
  <c r="H6" i="3" s="1"/>
  <c r="G6" i="3" s="1"/>
  <c r="F6" i="3" s="1"/>
  <c r="E6" i="3" s="1"/>
  <c r="S7" i="2"/>
  <c r="R7" i="2"/>
  <c r="Q7" i="2" s="1"/>
  <c r="P7" i="2" s="1"/>
  <c r="O7" i="2" s="1"/>
  <c r="N7" i="2" s="1"/>
  <c r="M7" i="2" s="1"/>
  <c r="L7" i="2" s="1"/>
  <c r="K7" i="2" s="1"/>
  <c r="J7" i="2" s="1"/>
  <c r="S6" i="2"/>
  <c r="R6" i="2"/>
  <c r="Q6" i="2"/>
  <c r="P6" i="2" s="1"/>
  <c r="O6" i="2" s="1"/>
  <c r="N6" i="2" s="1"/>
  <c r="M6" i="2" s="1"/>
  <c r="L6" i="2" s="1"/>
  <c r="K6" i="2" s="1"/>
  <c r="J6" i="2" s="1"/>
  <c r="K7" i="1"/>
  <c r="J7" i="1" s="1"/>
  <c r="I7" i="1" s="1"/>
  <c r="H7" i="1" s="1"/>
  <c r="G7" i="1" s="1"/>
  <c r="F7" i="1" s="1"/>
  <c r="E7" i="1" s="1"/>
  <c r="K6" i="1"/>
  <c r="J6" i="1" s="1"/>
  <c r="I6" i="1" s="1"/>
  <c r="H6" i="1" s="1"/>
  <c r="G6" i="1" s="1"/>
  <c r="F6" i="1" s="1"/>
  <c r="E6" i="1" s="1"/>
  <c r="I7" i="2" l="1"/>
  <c r="H7" i="2" s="1"/>
  <c r="G7" i="2" s="1"/>
  <c r="F7" i="2" s="1"/>
  <c r="E7" i="2" s="1"/>
  <c r="I6" i="2"/>
  <c r="H6" i="2" s="1"/>
  <c r="G6" i="2" s="1"/>
  <c r="F6" i="2" s="1"/>
  <c r="E6" i="2" s="1"/>
</calcChain>
</file>

<file path=xl/sharedStrings.xml><?xml version="1.0" encoding="utf-8"?>
<sst xmlns="http://schemas.openxmlformats.org/spreadsheetml/2006/main" count="692" uniqueCount="237">
  <si>
    <t>[DATO]</t>
  </si>
  <si>
    <t>DIRECCION 64 BITS</t>
  </si>
  <si>
    <t xml:space="preserve">0000000000403010  15 15 15 15 EB EB EB EB 00 00 00 00 00 00 00 00  ....ëëëë........  </t>
  </si>
  <si>
    <t>EB</t>
  </si>
  <si>
    <t>8 BITS</t>
  </si>
  <si>
    <t>decimal</t>
  </si>
  <si>
    <t>hexadecimal</t>
  </si>
  <si>
    <t>invertir los bits</t>
  </si>
  <si>
    <t>sumar 1 bits</t>
  </si>
  <si>
    <t xml:space="preserve">0000000000403010  AF 15 AF 15 AF 15 AF 55 27 02 51 EA 51 EA 51 AA   ¯.¯.¯.¯U'.QêQêQª  </t>
  </si>
  <si>
    <t>DW =16 BITS</t>
  </si>
  <si>
    <t>variable</t>
  </si>
  <si>
    <t>d1</t>
  </si>
  <si>
    <t>d2</t>
  </si>
  <si>
    <t>d3</t>
  </si>
  <si>
    <t>d4</t>
  </si>
  <si>
    <t>d5</t>
  </si>
  <si>
    <t>d6</t>
  </si>
  <si>
    <t>d7</t>
  </si>
  <si>
    <t>d8</t>
  </si>
  <si>
    <t>TIPO DE DATO DB=8 BITS</t>
  </si>
  <si>
    <t>2 HEXADECIMALES</t>
  </si>
  <si>
    <t>VARIABLE</t>
  </si>
  <si>
    <t>d9</t>
  </si>
  <si>
    <t>4 hexadecimales</t>
  </si>
  <si>
    <t>AF</t>
  </si>
  <si>
    <t>02</t>
  </si>
  <si>
    <t>51</t>
  </si>
  <si>
    <t>EA</t>
  </si>
  <si>
    <t>AA</t>
  </si>
  <si>
    <t>55</t>
  </si>
  <si>
    <t>15AF</t>
  </si>
  <si>
    <t>INVERTIR LOS BITS</t>
  </si>
  <si>
    <t>SUMAR UN BITS</t>
  </si>
  <si>
    <t>EA51</t>
  </si>
  <si>
    <t>DD =32 BITS</t>
  </si>
  <si>
    <t>DD = 32 BITS</t>
  </si>
  <si>
    <t>8 HEXADECIMALES</t>
  </si>
  <si>
    <t>dato1</t>
  </si>
  <si>
    <t>dato2</t>
  </si>
  <si>
    <t>dato3</t>
  </si>
  <si>
    <t>dato4</t>
  </si>
  <si>
    <t>48</t>
  </si>
  <si>
    <t>47</t>
  </si>
  <si>
    <t>78</t>
  </si>
  <si>
    <t>56</t>
  </si>
  <si>
    <t>46</t>
  </si>
  <si>
    <t>12</t>
  </si>
  <si>
    <t>34</t>
  </si>
  <si>
    <t>FF</t>
  </si>
  <si>
    <t>31</t>
  </si>
  <si>
    <t>32</t>
  </si>
  <si>
    <t>33</t>
  </si>
  <si>
    <t>30</t>
  </si>
  <si>
    <t>66</t>
  </si>
  <si>
    <t>35</t>
  </si>
  <si>
    <t>36</t>
  </si>
  <si>
    <t>37</t>
  </si>
  <si>
    <t>38</t>
  </si>
  <si>
    <t>39</t>
  </si>
  <si>
    <t>DECLARACIONES EN CADENAS ENTRAN A MEMORIA IZQUIERDA A DERECHA</t>
  </si>
  <si>
    <t>DECLARACIONES EN NUMERICOS ENTRAN A MEMORIA DERECHA A IZQUIERDA</t>
  </si>
  <si>
    <t>dato3   DD "1234"</t>
  </si>
  <si>
    <t xml:space="preserve">dato1  </t>
  </si>
  <si>
    <t xml:space="preserve">DD  +0x12345678  </t>
  </si>
  <si>
    <t>+1</t>
  </si>
  <si>
    <t xml:space="preserve">0000000000403010  78 56 34 12 FF FF FF FF 31 32 33 34 30 31 32 33   xV4.ÿÿÿÿ12340123  </t>
  </si>
  <si>
    <t>SUMAR 1 BITS</t>
  </si>
  <si>
    <t>HEXADECIMAL =FFFFFFFF</t>
  </si>
  <si>
    <t>DQ = 64 BITS</t>
  </si>
  <si>
    <t>16 HEXADECIMALES</t>
  </si>
  <si>
    <t>var1</t>
  </si>
  <si>
    <t>var2</t>
  </si>
  <si>
    <t>var3</t>
  </si>
  <si>
    <t>var4</t>
  </si>
  <si>
    <t>var5</t>
  </si>
  <si>
    <t>1</t>
  </si>
  <si>
    <t>0</t>
  </si>
  <si>
    <t>FFFFFFFF</t>
  </si>
  <si>
    <t>61</t>
  </si>
  <si>
    <t>62</t>
  </si>
  <si>
    <t>41</t>
  </si>
  <si>
    <t>42</t>
  </si>
  <si>
    <t>43</t>
  </si>
  <si>
    <t>44</t>
  </si>
  <si>
    <t>45</t>
  </si>
  <si>
    <t>00</t>
  </si>
  <si>
    <t>63</t>
  </si>
  <si>
    <t>64</t>
  </si>
  <si>
    <t>65</t>
  </si>
  <si>
    <t>67</t>
  </si>
  <si>
    <t>68</t>
  </si>
  <si>
    <t>000000000040301A</t>
  </si>
  <si>
    <t>000000000040301B</t>
  </si>
  <si>
    <t>000000000040301C</t>
  </si>
  <si>
    <t>000000000040301D</t>
  </si>
  <si>
    <t>000000000040301E</t>
  </si>
  <si>
    <t>000000000040301F</t>
  </si>
  <si>
    <t>0000000000403010</t>
  </si>
  <si>
    <t>0000000000403011</t>
  </si>
  <si>
    <t>0000000000403012</t>
  </si>
  <si>
    <t>0000000000403013</t>
  </si>
  <si>
    <t>0000000000403014</t>
  </si>
  <si>
    <t>0000000000403015</t>
  </si>
  <si>
    <t>0000000000403016</t>
  </si>
  <si>
    <t>0000000000403017</t>
  </si>
  <si>
    <t>0000000000403018</t>
  </si>
  <si>
    <t>0000000000403019</t>
  </si>
  <si>
    <t>0000000000403020</t>
  </si>
  <si>
    <t>0000000000403021</t>
  </si>
  <si>
    <t>0000000000403022</t>
  </si>
  <si>
    <t>0000000000403023</t>
  </si>
  <si>
    <t>0000000000403024</t>
  </si>
  <si>
    <t>0000000000403025</t>
  </si>
  <si>
    <t>0000000000403026</t>
  </si>
  <si>
    <t>0000000000403027</t>
  </si>
  <si>
    <t>0000000000403028</t>
  </si>
  <si>
    <t>0000000000403029</t>
  </si>
  <si>
    <t>000000000040302A</t>
  </si>
  <si>
    <t>000000000040302B</t>
  </si>
  <si>
    <t>000000000040302C</t>
  </si>
  <si>
    <t>000000000040302D</t>
  </si>
  <si>
    <t>000000000040302E</t>
  </si>
  <si>
    <t>000000000040302F</t>
  </si>
  <si>
    <t>0000000000403030</t>
  </si>
  <si>
    <t>0000000000403031</t>
  </si>
  <si>
    <t>0000000000403032</t>
  </si>
  <si>
    <t>0000000000403033</t>
  </si>
  <si>
    <t>0000000000403034</t>
  </si>
  <si>
    <t>0000000000403035</t>
  </si>
  <si>
    <t>0000000000403036</t>
  </si>
  <si>
    <t>0000000000403037</t>
  </si>
  <si>
    <t>0000000000403038</t>
  </si>
  <si>
    <t>0000000000403039</t>
  </si>
  <si>
    <t>000000000040303A</t>
  </si>
  <si>
    <t>000000000040303B</t>
  </si>
  <si>
    <t>000000000040303C</t>
  </si>
  <si>
    <t>000000000040303D</t>
  </si>
  <si>
    <t>000000000040303E</t>
  </si>
  <si>
    <t>000000000040303F</t>
  </si>
  <si>
    <t>CUANDO SON NUMEROS SE INTRODUCE A LA MEMORIA DE DERECHA A IZQUIERDA</t>
  </si>
  <si>
    <t>CUANDO SON CADENAS SE INTRODUCE A LA MEMORIA DE IZQIUIERDA A DERECHA</t>
  </si>
  <si>
    <t>;%%%%%%%%%%%%%%%%%%%%%%%%%%%%%%%%%%%%%%%%%</t>
  </si>
  <si>
    <t>;nasm -f win64 -o defDB.o defDB.asm -l defDB.lst</t>
  </si>
  <si>
    <t>;x86_64-w64-mingw32-gcc.exe -o defDB.exe defDB.o</t>
  </si>
  <si>
    <t>;0000000000401550    direccion donde se alojan los programas ensamblador en el x64dbg</t>
  </si>
  <si>
    <t>;-----------------------------------------</t>
  </si>
  <si>
    <t>segment .data</t>
  </si>
  <si>
    <t>;------un byte SS (sin signo)-----------</t>
  </si>
  <si>
    <t>d1  db  21  ; decimal</t>
  </si>
  <si>
    <t>d2  db  0x15  ;hexadecimal</t>
  </si>
  <si>
    <t>d3  db  15h   ;hexadecmial</t>
  </si>
  <si>
    <t>d4  db  00010101b   ; binario</t>
  </si>
  <si>
    <t xml:space="preserve">;-------un byte CS (con signo)---------- </t>
  </si>
  <si>
    <t xml:space="preserve">    d5  db  -21 ; decimal</t>
  </si>
  <si>
    <t>d6  db  -0x15 ; hexadecimal</t>
  </si>
  <si>
    <t>d7  db  -15h ; hexadeciaml</t>
  </si>
  <si>
    <t>d8  db  -0b00010101 ; binario</t>
  </si>
  <si>
    <t>segment .bss</t>
  </si>
  <si>
    <t xml:space="preserve">segment .text </t>
  </si>
  <si>
    <t xml:space="preserve">global main </t>
  </si>
  <si>
    <t>main:</t>
  </si>
  <si>
    <t xml:space="preserve"> XOR RAX,RAX</t>
  </si>
  <si>
    <t xml:space="preserve"> XOR RBX,RBX</t>
  </si>
  <si>
    <t xml:space="preserve"> XOR RCX,RCX</t>
  </si>
  <si>
    <t xml:space="preserve"> XOR EDX,EDX</t>
  </si>
  <si>
    <t>ret</t>
  </si>
  <si>
    <t>;nasm -f win64 -o defDW.o defDW.asm -l defDW.lst</t>
  </si>
  <si>
    <t>;x86_64-w64-mingw32-gcc.exe -o defDW.exe defDW.o</t>
  </si>
  <si>
    <t>;   WORD difinicion sin signo</t>
  </si>
  <si>
    <t>d1  dw  5551  ; decimal</t>
  </si>
  <si>
    <t>d2  dw  0x15AF  ;hexadecimal</t>
  </si>
  <si>
    <t>d3  dw  15AFh   ;hexadecmial</t>
  </si>
  <si>
    <t>d4  dw  0101010110101111b   ; binario</t>
  </si>
  <si>
    <t xml:space="preserve">;  WORD definicion  con signo </t>
  </si>
  <si>
    <t xml:space="preserve">    d5  dw  +551</t>
  </si>
  <si>
    <t>d6  dw  -0x15AF</t>
  </si>
  <si>
    <t>d7  dw  -15AFh</t>
  </si>
  <si>
    <t>d8  dw  -0b0101010110101111</t>
  </si>
  <si>
    <t>d9  dw  +0b0101_0101_1010_1111</t>
  </si>
  <si>
    <t>;nasm -f win64 -o defDD.o defDD.asm -l defDD.lst</t>
  </si>
  <si>
    <t>;x86_64-w64-mingw32-gcc.exe -o defDD.exe defDD.o</t>
  </si>
  <si>
    <t>;-------una palabra doble(double word)CS---</t>
  </si>
  <si>
    <t xml:space="preserve">dato2  </t>
  </si>
  <si>
    <t>DD -1</t>
  </si>
  <si>
    <t>Dato4   DD "0123456789"</t>
  </si>
  <si>
    <t>;nasm -f win64 -o defDQ.o defDQ.asm -l defDQ.lst</t>
  </si>
  <si>
    <t>;x86_64-w64-mingw32-gcc.exe -o defDQ.exe defDQ.o</t>
  </si>
  <si>
    <t xml:space="preserve">    DQ     0xFF_FF_FF_FF_FF_FF_FF_FF</t>
  </si>
  <si>
    <t>var2        DQ     -1</t>
  </si>
  <si>
    <t xml:space="preserve">var3        DQ     "ABCDEFGH"     </t>
  </si>
  <si>
    <t>var4        DQ     "012345678"</t>
  </si>
  <si>
    <t>var5        DQ     "abcdefgh"</t>
  </si>
  <si>
    <t>dato0</t>
  </si>
  <si>
    <t>4120CCCC</t>
  </si>
  <si>
    <t>CC</t>
  </si>
  <si>
    <t>20</t>
  </si>
  <si>
    <t>C120CCCC</t>
  </si>
  <si>
    <t>C1</t>
  </si>
  <si>
    <t>dato5</t>
  </si>
  <si>
    <t>MOV EAX,[dato4]</t>
  </si>
  <si>
    <t>;aqui se declaran variables inicializadas</t>
  </si>
  <si>
    <t>;INDICE MEMORIA 0000000000403010</t>
  </si>
  <si>
    <t>;aqui van las variables declaradas pero sin inicializar</t>
  </si>
  <si>
    <t>;INDICE MEMORIA DE RESERVA 0000000000407030</t>
  </si>
  <si>
    <t xml:space="preserve"> XOR R8,R8</t>
  </si>
  <si>
    <t xml:space="preserve"> XOR R9,R9</t>
  </si>
  <si>
    <t xml:space="preserve"> XOR R10,R10</t>
  </si>
  <si>
    <t xml:space="preserve"> XOR R11,R11</t>
  </si>
  <si>
    <t xml:space="preserve"> XOR R12,R12</t>
  </si>
  <si>
    <t xml:space="preserve"> XOR R13,R13</t>
  </si>
  <si>
    <t xml:space="preserve"> XOR R14,R14</t>
  </si>
  <si>
    <t xml:space="preserve"> XOR R15,R15</t>
  </si>
  <si>
    <t>XOR RAX,RAX</t>
  </si>
  <si>
    <t>dato0   DD +10.05    ;4120CCCC</t>
  </si>
  <si>
    <t>dato    DD -10.05    ;C120CCCC</t>
  </si>
  <si>
    <t xml:space="preserve">DD  +0x12345678    </t>
  </si>
  <si>
    <t>dato5   dd 0x1234</t>
  </si>
  <si>
    <t>15</t>
  </si>
  <si>
    <t>d</t>
  </si>
  <si>
    <t>E</t>
  </si>
  <si>
    <t>B</t>
  </si>
  <si>
    <t>A</t>
  </si>
  <si>
    <t>F</t>
  </si>
  <si>
    <t>27</t>
  </si>
  <si>
    <t xml:space="preserve">dato </t>
  </si>
  <si>
    <t>C</t>
  </si>
  <si>
    <t>a</t>
  </si>
  <si>
    <t>D</t>
  </si>
  <si>
    <t>G</t>
  </si>
  <si>
    <t>H</t>
  </si>
  <si>
    <t>b</t>
  </si>
  <si>
    <t>c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</si>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</sst>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0" borderId="3" xfId="0" applyNumberFormat="1" applyFont="1" applyBorder="1"/>
    <xf numFmtId="49" fontId="1" fillId="0" borderId="5" xfId="0" applyNumberFormat="1" applyFont="1" applyBorder="1"/>
    <xf numFmtId="0" fontId="1" fillId="0" borderId="6" xfId="0" applyFont="1" applyBorder="1" applyAlignment="1">
      <alignment horizontal="center"/>
    </xf>
    <xf numFmtId="0" fontId="1" fillId="2" borderId="1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 applyFill="1" applyBorder="1"/>
    <xf numFmtId="49" fontId="1" fillId="0" borderId="7" xfId="0" applyNumberFormat="1" applyFont="1" applyBorder="1"/>
    <xf numFmtId="0" fontId="1" fillId="0" borderId="8" xfId="0" applyFont="1" applyBorder="1" applyAlignment="1">
      <alignment horizontal="center"/>
    </xf>
    <xf numFmtId="0" fontId="2" fillId="0" borderId="0" xfId="0" applyFont="1"/>
    <xf numFmtId="49" fontId="1" fillId="0" borderId="9" xfId="0" applyNumberFormat="1" applyFont="1" applyBorder="1"/>
    <xf numFmtId="0" fontId="1" fillId="2" borderId="0" xfId="0" applyFont="1" applyFill="1"/>
    <xf numFmtId="49" fontId="1" fillId="0" borderId="6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Border="1"/>
    <xf numFmtId="0" fontId="1" fillId="0" borderId="0" xfId="0" applyFont="1" applyAlignment="1">
      <alignment horizontal="right"/>
    </xf>
    <xf numFmtId="0" fontId="1" fillId="2" borderId="0" xfId="0" applyFont="1" applyFill="1" applyBorder="1"/>
    <xf numFmtId="49" fontId="1" fillId="0" borderId="6" xfId="0" applyNumberFormat="1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10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4" xfId="0" applyFont="1" applyFill="1" applyBorder="1"/>
    <xf numFmtId="0" fontId="1" fillId="0" borderId="15" xfId="0" applyFont="1" applyFill="1" applyBorder="1"/>
    <xf numFmtId="49" fontId="1" fillId="0" borderId="0" xfId="0" applyNumberFormat="1" applyFont="1" applyFill="1" applyAlignment="1">
      <alignment horizontal="right"/>
    </xf>
    <xf numFmtId="0" fontId="1" fillId="0" borderId="1" xfId="0" applyFont="1" applyFill="1" applyBorder="1"/>
    <xf numFmtId="49" fontId="1" fillId="0" borderId="0" xfId="0" applyNumberFormat="1" applyFont="1" applyFill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49" fontId="1" fillId="0" borderId="10" xfId="0" applyNumberFormat="1" applyFont="1" applyFill="1" applyBorder="1"/>
    <xf numFmtId="49" fontId="1" fillId="0" borderId="11" xfId="0" applyNumberFormat="1" applyFont="1" applyFill="1" applyBorder="1"/>
    <xf numFmtId="49" fontId="1" fillId="0" borderId="12" xfId="0" applyNumberFormat="1" applyFont="1" applyFill="1" applyBorder="1"/>
    <xf numFmtId="49" fontId="1" fillId="0" borderId="13" xfId="0" applyNumberFormat="1" applyFont="1" applyBorder="1"/>
    <xf numFmtId="49" fontId="1" fillId="0" borderId="14" xfId="0" applyNumberFormat="1" applyFont="1" applyBorder="1"/>
    <xf numFmtId="49" fontId="1" fillId="0" borderId="14" xfId="0" applyNumberFormat="1" applyFont="1" applyFill="1" applyBorder="1"/>
    <xf numFmtId="49" fontId="1" fillId="0" borderId="15" xfId="0" applyNumberFormat="1" applyFont="1" applyFill="1" applyBorder="1"/>
    <xf numFmtId="49" fontId="1" fillId="0" borderId="0" xfId="0" applyNumberFormat="1" applyFont="1" applyFill="1" applyBorder="1"/>
    <xf numFmtId="49" fontId="1" fillId="0" borderId="0" xfId="0" applyNumberFormat="1" applyFont="1" applyBorder="1"/>
    <xf numFmtId="49" fontId="1" fillId="4" borderId="4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16" xfId="0" applyNumberFormat="1" applyFont="1" applyFill="1" applyBorder="1" applyAlignment="1">
      <alignment horizontal="center"/>
    </xf>
    <xf numFmtId="0" fontId="1" fillId="4" borderId="1" xfId="0" applyFont="1" applyFill="1" applyBorder="1"/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/>
    <xf numFmtId="49" fontId="1" fillId="0" borderId="1" xfId="0" applyNumberFormat="1" applyFont="1" applyFill="1" applyBorder="1"/>
    <xf numFmtId="0" fontId="1" fillId="3" borderId="1" xfId="0" applyFont="1" applyFill="1" applyBorder="1"/>
    <xf numFmtId="49" fontId="1" fillId="3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/>
    <xf numFmtId="49" fontId="1" fillId="5" borderId="1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2" borderId="3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6" borderId="0" xfId="0" applyFont="1" applyFill="1"/>
    <xf numFmtId="49" fontId="1" fillId="6" borderId="5" xfId="0" applyNumberFormat="1" applyFont="1" applyFill="1" applyBorder="1"/>
    <xf numFmtId="0" fontId="1" fillId="6" borderId="6" xfId="0" applyFont="1" applyFill="1" applyBorder="1" applyAlignment="1">
      <alignment horizontal="center"/>
    </xf>
    <xf numFmtId="0" fontId="1" fillId="6" borderId="0" xfId="0" applyFont="1" applyFill="1" applyBorder="1"/>
    <xf numFmtId="49" fontId="1" fillId="0" borderId="5" xfId="0" applyNumberFormat="1" applyFont="1" applyFill="1" applyBorder="1"/>
    <xf numFmtId="49" fontId="1" fillId="0" borderId="7" xfId="0" applyNumberFormat="1" applyFont="1" applyFill="1" applyBorder="1"/>
    <xf numFmtId="49" fontId="1" fillId="0" borderId="15" xfId="0" applyNumberFormat="1" applyFont="1" applyFill="1" applyBorder="1" applyAlignment="1">
      <alignment horizontal="center"/>
    </xf>
    <xf numFmtId="49" fontId="1" fillId="7" borderId="3" xfId="0" applyNumberFormat="1" applyFont="1" applyFill="1" applyBorder="1"/>
    <xf numFmtId="49" fontId="1" fillId="7" borderId="4" xfId="0" applyNumberFormat="1" applyFont="1" applyFill="1" applyBorder="1" applyAlignment="1">
      <alignment horizontal="center"/>
    </xf>
    <xf numFmtId="49" fontId="1" fillId="7" borderId="5" xfId="0" applyNumberFormat="1" applyFont="1" applyFill="1" applyBorder="1"/>
    <xf numFmtId="49" fontId="1" fillId="7" borderId="6" xfId="0" applyNumberFormat="1" applyFont="1" applyFill="1" applyBorder="1" applyAlignment="1">
      <alignment horizontal="center"/>
    </xf>
    <xf numFmtId="0" fontId="1" fillId="7" borderId="0" xfId="0" applyFont="1" applyFill="1"/>
    <xf numFmtId="49" fontId="1" fillId="0" borderId="13" xfId="0" applyNumberFormat="1" applyFont="1" applyFill="1" applyBorder="1"/>
    <xf numFmtId="0" fontId="1" fillId="8" borderId="0" xfId="0" applyFont="1" applyFill="1"/>
    <xf numFmtId="49" fontId="1" fillId="7" borderId="9" xfId="0" applyNumberFormat="1" applyFont="1" applyFill="1" applyBorder="1"/>
    <xf numFmtId="49" fontId="1" fillId="7" borderId="2" xfId="0" applyNumberFormat="1" applyFont="1" applyFill="1" applyBorder="1" applyAlignment="1">
      <alignment horizontal="center"/>
    </xf>
    <xf numFmtId="49" fontId="1" fillId="6" borderId="3" xfId="0" applyNumberFormat="1" applyFont="1" applyFill="1" applyBorder="1"/>
    <xf numFmtId="49" fontId="1" fillId="6" borderId="4" xfId="0" applyNumberFormat="1" applyFont="1" applyFill="1" applyBorder="1" applyAlignment="1">
      <alignment horizontal="center"/>
    </xf>
    <xf numFmtId="49" fontId="1" fillId="6" borderId="6" xfId="0" applyNumberFormat="1" applyFont="1" applyFill="1" applyBorder="1" applyAlignment="1">
      <alignment horizontal="center"/>
    </xf>
    <xf numFmtId="0" fontId="1" fillId="0" borderId="17" xfId="0" applyFont="1" applyFill="1" applyBorder="1"/>
    <xf numFmtId="49" fontId="1" fillId="6" borderId="9" xfId="0" applyNumberFormat="1" applyFont="1" applyFill="1" applyBorder="1"/>
    <xf numFmtId="49" fontId="1" fillId="6" borderId="2" xfId="0" applyNumberFormat="1" applyFont="1" applyFill="1" applyBorder="1" applyAlignment="1">
      <alignment horizontal="center"/>
    </xf>
    <xf numFmtId="49" fontId="1" fillId="6" borderId="7" xfId="0" applyNumberFormat="1" applyFont="1" applyFill="1" applyBorder="1"/>
    <xf numFmtId="49" fontId="1" fillId="6" borderId="16" xfId="0" applyNumberFormat="1" applyFont="1" applyFill="1" applyBorder="1" applyAlignment="1">
      <alignment horizontal="center"/>
    </xf>
    <xf numFmtId="0" fontId="1" fillId="6" borderId="1" xfId="0" applyFont="1" applyFill="1" applyBorder="1"/>
    <xf numFmtId="49" fontId="1" fillId="6" borderId="1" xfId="0" applyNumberFormat="1" applyFont="1" applyFill="1" applyBorder="1" applyAlignment="1">
      <alignment horizontal="center"/>
    </xf>
    <xf numFmtId="49" fontId="1" fillId="8" borderId="7" xfId="0" applyNumberFormat="1" applyFont="1" applyFill="1" applyBorder="1"/>
    <xf numFmtId="49" fontId="1" fillId="8" borderId="1" xfId="0" applyNumberFormat="1" applyFont="1" applyFill="1" applyBorder="1" applyAlignment="1">
      <alignment horizontal="center"/>
    </xf>
    <xf numFmtId="49" fontId="1" fillId="8" borderId="18" xfId="0" applyNumberFormat="1" applyFont="1" applyFill="1" applyBorder="1"/>
    <xf numFmtId="49" fontId="1" fillId="8" borderId="17" xfId="0" applyNumberFormat="1" applyFont="1" applyFill="1" applyBorder="1" applyAlignment="1">
      <alignment horizontal="center"/>
    </xf>
    <xf numFmtId="49" fontId="1" fillId="9" borderId="1" xfId="0" applyNumberFormat="1" applyFont="1" applyFill="1" applyBorder="1"/>
    <xf numFmtId="49" fontId="1" fillId="9" borderId="1" xfId="0" applyNumberFormat="1" applyFont="1" applyFill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49" fontId="1" fillId="10" borderId="1" xfId="0" applyNumberFormat="1" applyFont="1" applyFill="1" applyBorder="1"/>
    <xf numFmtId="49" fontId="1" fillId="7" borderId="1" xfId="0" applyNumberFormat="1" applyFont="1" applyFill="1" applyBorder="1"/>
    <xf numFmtId="49" fontId="1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opLeftCell="A10" zoomScale="130" zoomScaleNormal="130" workbookViewId="0">
      <selection activeCell="B5" sqref="B5"/>
    </sheetView>
  </sheetViews>
  <sheetFormatPr baseColWidth="10" defaultColWidth="10.921875" defaultRowHeight="14.6" x14ac:dyDescent="0.4"/>
  <cols>
    <col min="1" max="1" width="10.921875" style="2"/>
    <col min="2" max="2" width="19.07421875" style="1" customWidth="1"/>
    <col min="3" max="3" width="9.61328125" style="2" customWidth="1"/>
    <col min="4" max="4" width="17.3828125" style="2" customWidth="1"/>
    <col min="5" max="14" width="5.3828125" style="2" customWidth="1"/>
    <col min="15" max="16384" width="10.921875" style="2"/>
  </cols>
  <sheetData>
    <row r="1" spans="1:16" x14ac:dyDescent="0.4">
      <c r="D1" s="2" t="s">
        <v>20</v>
      </c>
    </row>
    <row r="2" spans="1:16" x14ac:dyDescent="0.4">
      <c r="C2" s="2" t="s">
        <v>4</v>
      </c>
      <c r="D2" s="2" t="s">
        <v>21</v>
      </c>
    </row>
    <row r="3" spans="1:16" ht="15" thickBot="1" x14ac:dyDescent="0.45">
      <c r="A3" s="16" t="s">
        <v>11</v>
      </c>
      <c r="B3" s="2" t="s">
        <v>1</v>
      </c>
      <c r="C3" s="2" t="s">
        <v>0</v>
      </c>
    </row>
    <row r="4" spans="1:16" x14ac:dyDescent="0.4">
      <c r="A4" s="16" t="s">
        <v>12</v>
      </c>
      <c r="B4" s="61" t="s">
        <v>98</v>
      </c>
      <c r="C4" s="62">
        <v>15</v>
      </c>
      <c r="D4" s="2" t="s">
        <v>2</v>
      </c>
    </row>
    <row r="5" spans="1:16" x14ac:dyDescent="0.4">
      <c r="A5" s="16" t="s">
        <v>13</v>
      </c>
      <c r="B5" s="64" t="s">
        <v>99</v>
      </c>
      <c r="C5" s="65">
        <v>15</v>
      </c>
    </row>
    <row r="6" spans="1:16" x14ac:dyDescent="0.4">
      <c r="A6" s="16" t="s">
        <v>14</v>
      </c>
      <c r="B6" s="4" t="s">
        <v>100</v>
      </c>
      <c r="C6" s="5">
        <v>15</v>
      </c>
      <c r="E6" s="6">
        <f t="shared" ref="E6:J6" si="0">F6+1</f>
        <v>8</v>
      </c>
      <c r="F6" s="6">
        <f t="shared" si="0"/>
        <v>7</v>
      </c>
      <c r="G6" s="6">
        <f t="shared" si="0"/>
        <v>6</v>
      </c>
      <c r="H6" s="6">
        <f t="shared" si="0"/>
        <v>5</v>
      </c>
      <c r="I6" s="6">
        <f t="shared" si="0"/>
        <v>4</v>
      </c>
      <c r="J6" s="6">
        <f t="shared" si="0"/>
        <v>3</v>
      </c>
      <c r="K6" s="6">
        <f>L6+1</f>
        <v>2</v>
      </c>
      <c r="L6" s="6">
        <v>1</v>
      </c>
      <c r="M6" s="2" t="s">
        <v>5</v>
      </c>
    </row>
    <row r="7" spans="1:16" x14ac:dyDescent="0.4">
      <c r="A7" s="16" t="s">
        <v>15</v>
      </c>
      <c r="B7" s="64" t="s">
        <v>101</v>
      </c>
      <c r="C7" s="65">
        <v>15</v>
      </c>
      <c r="E7" s="2">
        <f t="shared" ref="E7:H7" si="1">F7*2</f>
        <v>128</v>
      </c>
      <c r="F7" s="2">
        <f t="shared" si="1"/>
        <v>64</v>
      </c>
      <c r="G7" s="2">
        <f t="shared" si="1"/>
        <v>32</v>
      </c>
      <c r="H7" s="2">
        <f t="shared" si="1"/>
        <v>16</v>
      </c>
      <c r="I7" s="2">
        <f>J7*2</f>
        <v>8</v>
      </c>
      <c r="J7" s="2">
        <f>K7*2</f>
        <v>4</v>
      </c>
      <c r="K7" s="2">
        <f>L7*2</f>
        <v>2</v>
      </c>
      <c r="L7" s="2">
        <v>1</v>
      </c>
    </row>
    <row r="8" spans="1:16" x14ac:dyDescent="0.4">
      <c r="A8" s="16" t="s">
        <v>16</v>
      </c>
      <c r="B8" s="4" t="s">
        <v>102</v>
      </c>
      <c r="C8" s="5" t="s">
        <v>3</v>
      </c>
      <c r="E8" s="63">
        <v>0</v>
      </c>
      <c r="F8" s="63">
        <v>0</v>
      </c>
      <c r="G8" s="63">
        <v>0</v>
      </c>
      <c r="H8" s="63">
        <v>1</v>
      </c>
      <c r="I8" s="2">
        <v>0</v>
      </c>
      <c r="J8" s="2">
        <v>1</v>
      </c>
      <c r="K8" s="2">
        <v>0</v>
      </c>
      <c r="L8" s="2">
        <v>1</v>
      </c>
      <c r="M8" s="2">
        <v>21</v>
      </c>
      <c r="O8" s="2" t="s">
        <v>6</v>
      </c>
      <c r="P8" s="2">
        <v>15</v>
      </c>
    </row>
    <row r="9" spans="1:16" x14ac:dyDescent="0.4">
      <c r="A9" s="16" t="s">
        <v>17</v>
      </c>
      <c r="B9" s="64" t="s">
        <v>103</v>
      </c>
      <c r="C9" s="65" t="s">
        <v>3</v>
      </c>
      <c r="H9" s="2">
        <v>1</v>
      </c>
      <c r="L9" s="2">
        <v>5</v>
      </c>
    </row>
    <row r="10" spans="1:16" ht="15" thickBot="1" x14ac:dyDescent="0.45">
      <c r="A10" s="16" t="s">
        <v>18</v>
      </c>
      <c r="B10" s="4" t="s">
        <v>104</v>
      </c>
      <c r="C10" s="5" t="s">
        <v>3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21</v>
      </c>
    </row>
    <row r="11" spans="1:16" x14ac:dyDescent="0.4">
      <c r="A11" s="16" t="s">
        <v>19</v>
      </c>
      <c r="B11" s="64" t="s">
        <v>105</v>
      </c>
      <c r="C11" s="65" t="s">
        <v>3</v>
      </c>
      <c r="E11" s="7">
        <v>1</v>
      </c>
      <c r="F11" s="8">
        <v>1</v>
      </c>
      <c r="G11" s="8">
        <v>1</v>
      </c>
      <c r="H11" s="8">
        <v>0</v>
      </c>
      <c r="I11" s="8">
        <v>1</v>
      </c>
      <c r="J11" s="8">
        <v>0</v>
      </c>
      <c r="K11" s="8">
        <v>1</v>
      </c>
      <c r="L11" s="9">
        <v>0</v>
      </c>
      <c r="M11" s="2" t="s">
        <v>7</v>
      </c>
    </row>
    <row r="12" spans="1:16" ht="15" thickBot="1" x14ac:dyDescent="0.45">
      <c r="B12" s="4" t="s">
        <v>106</v>
      </c>
      <c r="C12" s="5"/>
      <c r="E12" s="10"/>
      <c r="F12" s="11"/>
      <c r="G12" s="11"/>
      <c r="H12" s="11"/>
      <c r="I12" s="11"/>
      <c r="J12" s="11"/>
      <c r="K12" s="11"/>
      <c r="L12" s="12">
        <v>1</v>
      </c>
      <c r="M12" s="2" t="s">
        <v>8</v>
      </c>
    </row>
    <row r="13" spans="1:16" x14ac:dyDescent="0.4">
      <c r="B13" s="4" t="s">
        <v>107</v>
      </c>
      <c r="C13" s="5"/>
      <c r="E13" s="2">
        <v>1</v>
      </c>
      <c r="F13" s="2">
        <v>1</v>
      </c>
      <c r="G13" s="2">
        <v>1</v>
      </c>
      <c r="H13" s="2">
        <v>0</v>
      </c>
      <c r="I13" s="66">
        <v>1</v>
      </c>
      <c r="J13" s="66">
        <v>0</v>
      </c>
      <c r="K13" s="66">
        <v>1</v>
      </c>
      <c r="L13" s="66">
        <v>1</v>
      </c>
      <c r="O13" s="2" t="s">
        <v>6</v>
      </c>
      <c r="P13" s="2" t="s">
        <v>3</v>
      </c>
    </row>
    <row r="14" spans="1:16" x14ac:dyDescent="0.4">
      <c r="B14" s="4"/>
      <c r="C14" s="5"/>
      <c r="H14" s="2" t="s">
        <v>220</v>
      </c>
      <c r="L14" s="2" t="s">
        <v>221</v>
      </c>
    </row>
    <row r="15" spans="1:16" x14ac:dyDescent="0.4">
      <c r="B15" s="4"/>
      <c r="C15" s="5"/>
    </row>
    <row r="16" spans="1:16" x14ac:dyDescent="0.4">
      <c r="B16" s="4"/>
      <c r="C16" s="5"/>
    </row>
    <row r="17" spans="1:3" x14ac:dyDescent="0.4">
      <c r="B17" s="4"/>
      <c r="C17" s="5"/>
    </row>
    <row r="18" spans="1:3" x14ac:dyDescent="0.4">
      <c r="B18" s="4"/>
      <c r="C18" s="5"/>
    </row>
    <row r="19" spans="1:3" ht="15" thickBot="1" x14ac:dyDescent="0.45">
      <c r="B19" s="14"/>
      <c r="C19" s="15"/>
    </row>
    <row r="22" spans="1:3" x14ac:dyDescent="0.4">
      <c r="A22" s="2" t="s">
        <v>142</v>
      </c>
    </row>
    <row r="23" spans="1:3" x14ac:dyDescent="0.4">
      <c r="A23" s="2" t="s">
        <v>143</v>
      </c>
    </row>
    <row r="24" spans="1:3" x14ac:dyDescent="0.4">
      <c r="A24" s="2" t="s">
        <v>144</v>
      </c>
    </row>
    <row r="25" spans="1:3" x14ac:dyDescent="0.4">
      <c r="A25" s="2" t="s">
        <v>142</v>
      </c>
    </row>
    <row r="26" spans="1:3" x14ac:dyDescent="0.4">
      <c r="A26" s="2" t="s">
        <v>145</v>
      </c>
    </row>
    <row r="27" spans="1:3" x14ac:dyDescent="0.4">
      <c r="A27" s="2" t="s">
        <v>146</v>
      </c>
    </row>
    <row r="28" spans="1:3" x14ac:dyDescent="0.4">
      <c r="A28" s="2" t="s">
        <v>147</v>
      </c>
    </row>
    <row r="29" spans="1:3" x14ac:dyDescent="0.4">
      <c r="A29" s="2" t="s">
        <v>201</v>
      </c>
    </row>
    <row r="30" spans="1:3" x14ac:dyDescent="0.4">
      <c r="A30" s="2" t="s">
        <v>202</v>
      </c>
    </row>
    <row r="31" spans="1:3" x14ac:dyDescent="0.4">
      <c r="A31" s="2" t="s">
        <v>148</v>
      </c>
    </row>
    <row r="32" spans="1:3" x14ac:dyDescent="0.4">
      <c r="B32" s="1" t="s">
        <v>149</v>
      </c>
    </row>
    <row r="33" spans="1:2" x14ac:dyDescent="0.4">
      <c r="B33" s="1" t="s">
        <v>150</v>
      </c>
    </row>
    <row r="34" spans="1:2" x14ac:dyDescent="0.4">
      <c r="B34" s="1" t="s">
        <v>151</v>
      </c>
    </row>
    <row r="35" spans="1:2" x14ac:dyDescent="0.4">
      <c r="B35" s="1" t="s">
        <v>152</v>
      </c>
    </row>
    <row r="36" spans="1:2" x14ac:dyDescent="0.4">
      <c r="A36" s="2" t="s">
        <v>153</v>
      </c>
    </row>
    <row r="37" spans="1:2" x14ac:dyDescent="0.4">
      <c r="A37" s="2" t="s">
        <v>154</v>
      </c>
    </row>
    <row r="38" spans="1:2" x14ac:dyDescent="0.4">
      <c r="B38" s="1" t="s">
        <v>155</v>
      </c>
    </row>
    <row r="39" spans="1:2" x14ac:dyDescent="0.4">
      <c r="B39" s="1" t="s">
        <v>156</v>
      </c>
    </row>
    <row r="40" spans="1:2" x14ac:dyDescent="0.4">
      <c r="B40" s="1" t="s">
        <v>157</v>
      </c>
    </row>
    <row r="42" spans="1:2" x14ac:dyDescent="0.4">
      <c r="A42" s="2" t="s">
        <v>158</v>
      </c>
    </row>
    <row r="43" spans="1:2" x14ac:dyDescent="0.4">
      <c r="A43" s="2" t="s">
        <v>203</v>
      </c>
    </row>
    <row r="44" spans="1:2" x14ac:dyDescent="0.4">
      <c r="A44" s="2" t="s">
        <v>204</v>
      </c>
    </row>
    <row r="45" spans="1:2" x14ac:dyDescent="0.4">
      <c r="A45" s="2" t="s">
        <v>159</v>
      </c>
    </row>
    <row r="46" spans="1:2" x14ac:dyDescent="0.4">
      <c r="A46" s="2" t="s">
        <v>160</v>
      </c>
    </row>
    <row r="47" spans="1:2" x14ac:dyDescent="0.4">
      <c r="A47" s="2" t="s">
        <v>161</v>
      </c>
    </row>
    <row r="48" spans="1:2" x14ac:dyDescent="0.4">
      <c r="A48" s="2" t="s">
        <v>166</v>
      </c>
    </row>
    <row r="49" spans="1:1" x14ac:dyDescent="0.4">
      <c r="A49" s="2" t="s">
        <v>162</v>
      </c>
    </row>
    <row r="50" spans="1:1" x14ac:dyDescent="0.4">
      <c r="A50" s="2" t="s">
        <v>163</v>
      </c>
    </row>
    <row r="51" spans="1:1" x14ac:dyDescent="0.4">
      <c r="A51" s="2" t="s">
        <v>164</v>
      </c>
    </row>
    <row r="52" spans="1:1" x14ac:dyDescent="0.4">
      <c r="A52" s="2" t="s">
        <v>165</v>
      </c>
    </row>
    <row r="53" spans="1:1" x14ac:dyDescent="0.4">
      <c r="A53" s="2" t="s">
        <v>205</v>
      </c>
    </row>
    <row r="54" spans="1:1" x14ac:dyDescent="0.4">
      <c r="A54" s="2" t="s">
        <v>206</v>
      </c>
    </row>
    <row r="55" spans="1:1" x14ac:dyDescent="0.4">
      <c r="A55" s="2" t="s">
        <v>207</v>
      </c>
    </row>
    <row r="56" spans="1:1" x14ac:dyDescent="0.4">
      <c r="A56" s="2" t="s">
        <v>208</v>
      </c>
    </row>
    <row r="57" spans="1:1" x14ac:dyDescent="0.4">
      <c r="A57" s="2" t="s">
        <v>209</v>
      </c>
    </row>
    <row r="58" spans="1:1" x14ac:dyDescent="0.4">
      <c r="A58" s="2" t="s">
        <v>210</v>
      </c>
    </row>
    <row r="59" spans="1:1" x14ac:dyDescent="0.4">
      <c r="A59" s="2" t="s">
        <v>211</v>
      </c>
    </row>
    <row r="60" spans="1:1" x14ac:dyDescent="0.4">
      <c r="A60" s="2" t="s">
        <v>212</v>
      </c>
    </row>
    <row r="61" spans="1:1" x14ac:dyDescent="0.4">
      <c r="A61" s="2" t="s">
        <v>166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63"/>
  <sheetViews>
    <sheetView zoomScale="115" zoomScaleNormal="115" workbookViewId="0">
      <selection activeCell="C21" sqref="C21"/>
    </sheetView>
  </sheetViews>
  <sheetFormatPr baseColWidth="10" defaultColWidth="10.921875" defaultRowHeight="14.6" x14ac:dyDescent="0.4"/>
  <cols>
    <col min="1" max="1" width="4.15234375" style="2" customWidth="1"/>
    <col min="2" max="2" width="17.61328125" style="1" customWidth="1"/>
    <col min="3" max="3" width="8.23046875" style="20" customWidth="1"/>
    <col min="4" max="4" width="34.3046875" style="2" customWidth="1"/>
    <col min="5" max="20" width="5.69140625" style="2" customWidth="1"/>
    <col min="21" max="22" width="5.3828125" style="2" customWidth="1"/>
    <col min="23" max="23" width="10.921875" style="2"/>
    <col min="24" max="24" width="10.921875" style="22"/>
    <col min="25" max="16384" width="10.921875" style="2"/>
  </cols>
  <sheetData>
    <row r="2" spans="1:24" x14ac:dyDescent="0.4">
      <c r="C2" s="20" t="s">
        <v>4</v>
      </c>
      <c r="E2" s="2" t="s">
        <v>10</v>
      </c>
    </row>
    <row r="3" spans="1:24" ht="15" thickBot="1" x14ac:dyDescent="0.45">
      <c r="A3" s="2" t="s">
        <v>22</v>
      </c>
      <c r="B3" s="2" t="s">
        <v>1</v>
      </c>
      <c r="C3" s="20" t="s">
        <v>0</v>
      </c>
      <c r="E3" s="2" t="s">
        <v>9</v>
      </c>
    </row>
    <row r="4" spans="1:24" x14ac:dyDescent="0.4">
      <c r="A4" s="25" t="s">
        <v>12</v>
      </c>
      <c r="B4" s="70" t="s">
        <v>98</v>
      </c>
      <c r="C4" s="71" t="s">
        <v>25</v>
      </c>
      <c r="D4" s="22" t="s">
        <v>31</v>
      </c>
      <c r="E4" s="2" t="s">
        <v>24</v>
      </c>
    </row>
    <row r="5" spans="1:24" x14ac:dyDescent="0.4">
      <c r="A5" s="25"/>
      <c r="B5" s="72" t="s">
        <v>99</v>
      </c>
      <c r="C5" s="73" t="s">
        <v>218</v>
      </c>
    </row>
    <row r="6" spans="1:24" x14ac:dyDescent="0.4">
      <c r="A6" s="2" t="s">
        <v>13</v>
      </c>
      <c r="B6" s="4" t="s">
        <v>100</v>
      </c>
      <c r="C6" s="19" t="s">
        <v>25</v>
      </c>
      <c r="E6" s="6">
        <f t="shared" ref="E6:L6" si="0">F6+1</f>
        <v>16</v>
      </c>
      <c r="F6" s="6">
        <f t="shared" si="0"/>
        <v>15</v>
      </c>
      <c r="G6" s="6">
        <f t="shared" si="0"/>
        <v>14</v>
      </c>
      <c r="H6" s="6">
        <f t="shared" si="0"/>
        <v>13</v>
      </c>
      <c r="I6" s="6">
        <f t="shared" si="0"/>
        <v>12</v>
      </c>
      <c r="J6" s="6">
        <f t="shared" si="0"/>
        <v>11</v>
      </c>
      <c r="K6" s="6">
        <f t="shared" si="0"/>
        <v>10</v>
      </c>
      <c r="L6" s="6">
        <f t="shared" si="0"/>
        <v>9</v>
      </c>
      <c r="M6" s="6">
        <f t="shared" ref="M6:R6" si="1">N6+1</f>
        <v>8</v>
      </c>
      <c r="N6" s="6">
        <f t="shared" si="1"/>
        <v>7</v>
      </c>
      <c r="O6" s="6">
        <f t="shared" si="1"/>
        <v>6</v>
      </c>
      <c r="P6" s="6">
        <f t="shared" si="1"/>
        <v>5</v>
      </c>
      <c r="Q6" s="6">
        <f t="shared" si="1"/>
        <v>4</v>
      </c>
      <c r="R6" s="6">
        <f t="shared" si="1"/>
        <v>3</v>
      </c>
      <c r="S6" s="6">
        <f>T6+1</f>
        <v>2</v>
      </c>
      <c r="T6" s="6">
        <v>1</v>
      </c>
      <c r="U6" s="2" t="s">
        <v>5</v>
      </c>
    </row>
    <row r="7" spans="1:24" x14ac:dyDescent="0.4">
      <c r="B7" s="4" t="s">
        <v>101</v>
      </c>
      <c r="C7" s="19" t="s">
        <v>218</v>
      </c>
      <c r="E7" s="2">
        <f t="shared" ref="E7:L7" si="2">F7*2</f>
        <v>32768</v>
      </c>
      <c r="F7" s="2">
        <f t="shared" si="2"/>
        <v>16384</v>
      </c>
      <c r="G7" s="2">
        <f t="shared" si="2"/>
        <v>8192</v>
      </c>
      <c r="H7" s="2">
        <f t="shared" si="2"/>
        <v>4096</v>
      </c>
      <c r="I7" s="2">
        <f t="shared" si="2"/>
        <v>2048</v>
      </c>
      <c r="J7" s="2">
        <f t="shared" si="2"/>
        <v>1024</v>
      </c>
      <c r="K7" s="2">
        <f t="shared" si="2"/>
        <v>512</v>
      </c>
      <c r="L7" s="2">
        <f t="shared" si="2"/>
        <v>256</v>
      </c>
      <c r="M7" s="2">
        <f t="shared" ref="M7:P7" si="3">N7*2</f>
        <v>128</v>
      </c>
      <c r="N7" s="2">
        <f t="shared" si="3"/>
        <v>64</v>
      </c>
      <c r="O7" s="2">
        <f t="shared" si="3"/>
        <v>32</v>
      </c>
      <c r="P7" s="2">
        <f t="shared" si="3"/>
        <v>16</v>
      </c>
      <c r="Q7" s="2">
        <f>R7*2</f>
        <v>8</v>
      </c>
      <c r="R7" s="2">
        <f>S7*2</f>
        <v>4</v>
      </c>
      <c r="S7" s="2">
        <f>T7*2</f>
        <v>2</v>
      </c>
      <c r="T7" s="2">
        <v>1</v>
      </c>
    </row>
    <row r="8" spans="1:24" x14ac:dyDescent="0.4">
      <c r="A8" s="25" t="s">
        <v>14</v>
      </c>
      <c r="B8" s="72" t="s">
        <v>102</v>
      </c>
      <c r="C8" s="73" t="s">
        <v>25</v>
      </c>
      <c r="E8" s="18">
        <v>0</v>
      </c>
      <c r="F8" s="18">
        <v>0</v>
      </c>
      <c r="G8" s="18">
        <v>0</v>
      </c>
      <c r="H8" s="18">
        <v>1</v>
      </c>
      <c r="I8" s="2">
        <v>0</v>
      </c>
      <c r="J8" s="2">
        <v>1</v>
      </c>
      <c r="K8" s="2">
        <v>0</v>
      </c>
      <c r="L8" s="2">
        <v>1</v>
      </c>
      <c r="M8" s="18">
        <v>1</v>
      </c>
      <c r="N8" s="18">
        <v>0</v>
      </c>
      <c r="O8" s="18">
        <v>1</v>
      </c>
      <c r="P8" s="18">
        <v>0</v>
      </c>
      <c r="Q8" s="2">
        <v>1</v>
      </c>
      <c r="R8" s="2">
        <v>1</v>
      </c>
      <c r="S8" s="2">
        <v>1</v>
      </c>
      <c r="T8" s="2">
        <v>1</v>
      </c>
      <c r="U8" s="2">
        <v>5551</v>
      </c>
      <c r="W8" s="2" t="s">
        <v>6</v>
      </c>
      <c r="X8" s="22" t="s">
        <v>31</v>
      </c>
    </row>
    <row r="9" spans="1:24" ht="15" thickBot="1" x14ac:dyDescent="0.45">
      <c r="A9" s="25"/>
      <c r="B9" s="72" t="s">
        <v>103</v>
      </c>
      <c r="C9" s="73" t="s">
        <v>218</v>
      </c>
      <c r="H9" s="2">
        <v>1</v>
      </c>
      <c r="L9" s="2">
        <v>5</v>
      </c>
      <c r="P9" s="2" t="s">
        <v>222</v>
      </c>
      <c r="T9" s="2" t="s">
        <v>223</v>
      </c>
    </row>
    <row r="10" spans="1:24" x14ac:dyDescent="0.4">
      <c r="A10" s="25" t="s">
        <v>15</v>
      </c>
      <c r="B10" s="67" t="s">
        <v>104</v>
      </c>
      <c r="C10" s="24" t="s">
        <v>25</v>
      </c>
      <c r="E10" s="7">
        <v>1</v>
      </c>
      <c r="F10" s="8">
        <v>1</v>
      </c>
      <c r="G10" s="8">
        <v>1</v>
      </c>
      <c r="H10" s="8">
        <v>0</v>
      </c>
      <c r="I10" s="8">
        <v>1</v>
      </c>
      <c r="J10" s="8">
        <v>0</v>
      </c>
      <c r="K10" s="8">
        <v>1</v>
      </c>
      <c r="L10" s="8">
        <v>0</v>
      </c>
      <c r="M10" s="8">
        <v>0</v>
      </c>
      <c r="N10" s="8">
        <v>1</v>
      </c>
      <c r="O10" s="8">
        <v>0</v>
      </c>
      <c r="P10" s="8">
        <v>1</v>
      </c>
      <c r="Q10" s="8">
        <v>0</v>
      </c>
      <c r="R10" s="8">
        <v>0</v>
      </c>
      <c r="S10" s="8">
        <v>0</v>
      </c>
      <c r="T10" s="9">
        <v>0</v>
      </c>
      <c r="U10" s="21" t="s">
        <v>32</v>
      </c>
    </row>
    <row r="11" spans="1:24" ht="15" thickBot="1" x14ac:dyDescent="0.45">
      <c r="A11" s="25"/>
      <c r="B11" s="67" t="s">
        <v>105</v>
      </c>
      <c r="C11" s="24" t="s">
        <v>30</v>
      </c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>
        <v>1</v>
      </c>
      <c r="U11" s="21" t="s">
        <v>33</v>
      </c>
    </row>
    <row r="12" spans="1:24" x14ac:dyDescent="0.4">
      <c r="A12" s="25" t="s">
        <v>16</v>
      </c>
      <c r="B12" s="72" t="s">
        <v>106</v>
      </c>
      <c r="C12" s="73" t="s">
        <v>224</v>
      </c>
      <c r="E12" s="18">
        <v>1</v>
      </c>
      <c r="F12" s="18">
        <v>1</v>
      </c>
      <c r="G12" s="18">
        <v>1</v>
      </c>
      <c r="H12" s="18">
        <v>0</v>
      </c>
      <c r="I12" s="2">
        <v>1</v>
      </c>
      <c r="J12" s="2">
        <v>0</v>
      </c>
      <c r="K12" s="2">
        <v>1</v>
      </c>
      <c r="L12" s="21">
        <v>0</v>
      </c>
      <c r="M12" s="23">
        <v>0</v>
      </c>
      <c r="N12" s="23">
        <v>1</v>
      </c>
      <c r="O12" s="23">
        <v>0</v>
      </c>
      <c r="P12" s="23">
        <v>1</v>
      </c>
      <c r="Q12" s="21">
        <v>0</v>
      </c>
      <c r="R12" s="21">
        <v>0</v>
      </c>
      <c r="S12" s="21">
        <v>0</v>
      </c>
      <c r="T12" s="21">
        <v>1</v>
      </c>
      <c r="U12" s="21">
        <v>-5551</v>
      </c>
      <c r="W12" s="2" t="s">
        <v>6</v>
      </c>
      <c r="X12" s="22" t="s">
        <v>34</v>
      </c>
    </row>
    <row r="13" spans="1:24" x14ac:dyDescent="0.4">
      <c r="A13" s="25"/>
      <c r="B13" s="72" t="s">
        <v>107</v>
      </c>
      <c r="C13" s="73" t="s">
        <v>26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1">
        <v>0</v>
      </c>
      <c r="M13" s="21">
        <v>0</v>
      </c>
      <c r="N13" s="21">
        <v>0</v>
      </c>
      <c r="O13" s="21">
        <v>1</v>
      </c>
      <c r="P13" s="21">
        <v>0</v>
      </c>
      <c r="Q13" s="13">
        <v>0</v>
      </c>
      <c r="R13" s="13">
        <v>1</v>
      </c>
      <c r="S13" s="13">
        <v>1</v>
      </c>
      <c r="T13" s="13">
        <v>1</v>
      </c>
      <c r="U13" s="21"/>
      <c r="V13" s="2">
        <v>227</v>
      </c>
    </row>
    <row r="14" spans="1:24" x14ac:dyDescent="0.4">
      <c r="A14" s="25" t="s">
        <v>17</v>
      </c>
      <c r="B14" s="67" t="s">
        <v>92</v>
      </c>
      <c r="C14" s="24" t="s">
        <v>27</v>
      </c>
      <c r="D14" s="2" t="s">
        <v>34</v>
      </c>
      <c r="E14" s="2" t="s">
        <v>140</v>
      </c>
    </row>
    <row r="15" spans="1:24" x14ac:dyDescent="0.4">
      <c r="A15" s="25"/>
      <c r="B15" s="67" t="s">
        <v>93</v>
      </c>
      <c r="C15" s="24" t="s">
        <v>28</v>
      </c>
      <c r="E15" s="2" t="s">
        <v>141</v>
      </c>
    </row>
    <row r="16" spans="1:24" x14ac:dyDescent="0.4">
      <c r="A16" s="25" t="s">
        <v>18</v>
      </c>
      <c r="B16" s="72" t="s">
        <v>94</v>
      </c>
      <c r="C16" s="73" t="s">
        <v>27</v>
      </c>
    </row>
    <row r="17" spans="1:21" x14ac:dyDescent="0.4">
      <c r="A17" s="25"/>
      <c r="B17" s="72" t="s">
        <v>95</v>
      </c>
      <c r="C17" s="73" t="s">
        <v>28</v>
      </c>
      <c r="E17" s="6">
        <f t="shared" ref="E17" si="4">F17+1</f>
        <v>16</v>
      </c>
      <c r="F17" s="6">
        <f t="shared" ref="F17" si="5">G17+1</f>
        <v>15</v>
      </c>
      <c r="G17" s="6">
        <f t="shared" ref="G17" si="6">H17+1</f>
        <v>14</v>
      </c>
      <c r="H17" s="6">
        <f t="shared" ref="H17" si="7">I17+1</f>
        <v>13</v>
      </c>
      <c r="I17" s="6">
        <f t="shared" ref="I17" si="8">J17+1</f>
        <v>12</v>
      </c>
      <c r="J17" s="6">
        <f t="shared" ref="J17" si="9">K17+1</f>
        <v>11</v>
      </c>
      <c r="K17" s="6">
        <f t="shared" ref="K17" si="10">L17+1</f>
        <v>10</v>
      </c>
      <c r="L17" s="6">
        <f t="shared" ref="L17" si="11">M17+1</f>
        <v>9</v>
      </c>
      <c r="M17" s="6">
        <f t="shared" ref="M17" si="12">N17+1</f>
        <v>8</v>
      </c>
      <c r="N17" s="6">
        <f t="shared" ref="N17" si="13">O17+1</f>
        <v>7</v>
      </c>
      <c r="O17" s="6">
        <f t="shared" ref="O17" si="14">P17+1</f>
        <v>6</v>
      </c>
      <c r="P17" s="6">
        <f t="shared" ref="P17" si="15">Q17+1</f>
        <v>5</v>
      </c>
      <c r="Q17" s="6">
        <f t="shared" ref="Q17" si="16">R17+1</f>
        <v>4</v>
      </c>
      <c r="R17" s="6">
        <f t="shared" ref="R17" si="17">S17+1</f>
        <v>3</v>
      </c>
      <c r="S17" s="6">
        <f>T17+1</f>
        <v>2</v>
      </c>
      <c r="T17" s="6">
        <v>1</v>
      </c>
    </row>
    <row r="18" spans="1:21" x14ac:dyDescent="0.4">
      <c r="A18" s="25" t="s">
        <v>19</v>
      </c>
      <c r="B18" s="67" t="s">
        <v>96</v>
      </c>
      <c r="C18" s="24" t="s">
        <v>27</v>
      </c>
      <c r="E18" s="2">
        <f t="shared" ref="E18" si="18">F18*2</f>
        <v>32768</v>
      </c>
      <c r="F18" s="2">
        <f t="shared" ref="F18" si="19">G18*2</f>
        <v>16384</v>
      </c>
      <c r="G18" s="2">
        <f t="shared" ref="G18" si="20">H18*2</f>
        <v>8192</v>
      </c>
      <c r="H18" s="2">
        <f t="shared" ref="H18" si="21">I18*2</f>
        <v>4096</v>
      </c>
      <c r="I18" s="2">
        <f t="shared" ref="I18" si="22">J18*2</f>
        <v>2048</v>
      </c>
      <c r="J18" s="2">
        <f t="shared" ref="J18" si="23">K18*2</f>
        <v>1024</v>
      </c>
      <c r="K18" s="2">
        <f t="shared" ref="K18" si="24">L18*2</f>
        <v>512</v>
      </c>
      <c r="L18" s="2">
        <f t="shared" ref="L18" si="25">M18*2</f>
        <v>256</v>
      </c>
      <c r="M18" s="2">
        <f t="shared" ref="M18" si="26">N18*2</f>
        <v>128</v>
      </c>
      <c r="N18" s="2">
        <f t="shared" ref="N18" si="27">O18*2</f>
        <v>64</v>
      </c>
      <c r="O18" s="2">
        <f t="shared" ref="O18" si="28">P18*2</f>
        <v>32</v>
      </c>
      <c r="P18" s="2">
        <f t="shared" ref="P18" si="29">Q18*2</f>
        <v>16</v>
      </c>
      <c r="Q18" s="2">
        <f>R18*2</f>
        <v>8</v>
      </c>
      <c r="R18" s="2">
        <f>S18*2</f>
        <v>4</v>
      </c>
      <c r="S18" s="2">
        <f>T18*2</f>
        <v>2</v>
      </c>
      <c r="T18" s="2">
        <v>1</v>
      </c>
    </row>
    <row r="19" spans="1:21" ht="15" thickBot="1" x14ac:dyDescent="0.45">
      <c r="A19" s="25"/>
      <c r="B19" s="68" t="s">
        <v>97</v>
      </c>
      <c r="C19" s="35" t="s">
        <v>29</v>
      </c>
      <c r="E19" s="2">
        <v>0</v>
      </c>
      <c r="F19" s="2">
        <v>0</v>
      </c>
      <c r="G19" s="2">
        <v>0</v>
      </c>
      <c r="H19" s="2">
        <v>0</v>
      </c>
      <c r="I19" s="74">
        <v>0</v>
      </c>
      <c r="J19" s="74">
        <v>0</v>
      </c>
      <c r="K19" s="74">
        <v>1</v>
      </c>
      <c r="L19" s="74">
        <v>0</v>
      </c>
      <c r="M19" s="2">
        <v>0</v>
      </c>
      <c r="N19" s="2">
        <v>0</v>
      </c>
      <c r="O19" s="2">
        <v>1</v>
      </c>
      <c r="P19" s="2">
        <v>0</v>
      </c>
      <c r="Q19" s="74">
        <v>0</v>
      </c>
      <c r="R19" s="74">
        <v>1</v>
      </c>
      <c r="S19" s="74">
        <v>1</v>
      </c>
      <c r="T19" s="74">
        <v>1</v>
      </c>
      <c r="U19" s="2">
        <f>K18+O18+R18+S18+T18</f>
        <v>551</v>
      </c>
    </row>
    <row r="20" spans="1:21" ht="15" thickBot="1" x14ac:dyDescent="0.45">
      <c r="A20" s="25" t="s">
        <v>23</v>
      </c>
      <c r="B20" s="77" t="s">
        <v>108</v>
      </c>
      <c r="C20" s="78" t="s">
        <v>25</v>
      </c>
      <c r="H20" s="2">
        <v>0</v>
      </c>
      <c r="L20" s="2">
        <v>2</v>
      </c>
      <c r="P20" s="2">
        <v>2</v>
      </c>
      <c r="T20" s="2">
        <v>7</v>
      </c>
    </row>
    <row r="21" spans="1:21" ht="15" thickBot="1" x14ac:dyDescent="0.45">
      <c r="A21" s="25"/>
      <c r="B21" s="77" t="s">
        <v>109</v>
      </c>
      <c r="C21" s="78" t="s">
        <v>30</v>
      </c>
      <c r="E21" s="6">
        <f t="shared" ref="E21" si="30">F21+1</f>
        <v>16</v>
      </c>
      <c r="F21" s="6">
        <f t="shared" ref="F21" si="31">G21+1</f>
        <v>15</v>
      </c>
      <c r="G21" s="6">
        <f t="shared" ref="G21" si="32">H21+1</f>
        <v>14</v>
      </c>
      <c r="H21" s="6">
        <f t="shared" ref="H21" si="33">I21+1</f>
        <v>13</v>
      </c>
      <c r="I21" s="6">
        <f t="shared" ref="I21" si="34">J21+1</f>
        <v>12</v>
      </c>
      <c r="J21" s="6">
        <f t="shared" ref="J21" si="35">K21+1</f>
        <v>11</v>
      </c>
      <c r="K21" s="6">
        <f t="shared" ref="K21" si="36">L21+1</f>
        <v>10</v>
      </c>
      <c r="L21" s="6">
        <f t="shared" ref="L21" si="37">M21+1</f>
        <v>9</v>
      </c>
      <c r="M21" s="6">
        <f t="shared" ref="M21" si="38">N21+1</f>
        <v>8</v>
      </c>
      <c r="N21" s="6">
        <f t="shared" ref="N21" si="39">O21+1</f>
        <v>7</v>
      </c>
      <c r="O21" s="6">
        <f t="shared" ref="O21" si="40">P21+1</f>
        <v>6</v>
      </c>
      <c r="P21" s="6">
        <f t="shared" ref="P21" si="41">Q21+1</f>
        <v>5</v>
      </c>
      <c r="Q21" s="6">
        <f t="shared" ref="Q21" si="42">R21+1</f>
        <v>4</v>
      </c>
      <c r="R21" s="6">
        <f t="shared" ref="R21" si="43">S21+1</f>
        <v>3</v>
      </c>
      <c r="S21" s="6">
        <f>T21+1</f>
        <v>2</v>
      </c>
      <c r="T21" s="6">
        <v>1</v>
      </c>
    </row>
    <row r="22" spans="1:21" ht="15" thickBot="1" x14ac:dyDescent="0.45">
      <c r="A22" s="25"/>
      <c r="B22" s="75"/>
      <c r="C22" s="69"/>
      <c r="E22" s="2">
        <f t="shared" ref="E22" si="44">F22*2</f>
        <v>32768</v>
      </c>
      <c r="F22" s="2">
        <f t="shared" ref="F22" si="45">G22*2</f>
        <v>16384</v>
      </c>
      <c r="G22" s="2">
        <f t="shared" ref="G22" si="46">H22*2</f>
        <v>8192</v>
      </c>
      <c r="H22" s="2">
        <f t="shared" ref="H22" si="47">I22*2</f>
        <v>4096</v>
      </c>
      <c r="I22" s="2">
        <f t="shared" ref="I22" si="48">J22*2</f>
        <v>2048</v>
      </c>
      <c r="J22" s="2">
        <f t="shared" ref="J22" si="49">K22*2</f>
        <v>1024</v>
      </c>
      <c r="K22" s="2">
        <f t="shared" ref="K22" si="50">L22*2</f>
        <v>512</v>
      </c>
      <c r="L22" s="2">
        <f t="shared" ref="L22" si="51">M22*2</f>
        <v>256</v>
      </c>
      <c r="M22" s="2">
        <f t="shared" ref="M22" si="52">N22*2</f>
        <v>128</v>
      </c>
      <c r="N22" s="2">
        <f t="shared" ref="N22" si="53">O22*2</f>
        <v>64</v>
      </c>
      <c r="O22" s="2">
        <f t="shared" ref="O22" si="54">P22*2</f>
        <v>32</v>
      </c>
      <c r="P22" s="2">
        <f t="shared" ref="P22" si="55">Q22*2</f>
        <v>16</v>
      </c>
      <c r="Q22" s="2">
        <f>R22*2</f>
        <v>8</v>
      </c>
      <c r="R22" s="2">
        <f>S22*2</f>
        <v>4</v>
      </c>
      <c r="S22" s="2">
        <f>T22*2</f>
        <v>2</v>
      </c>
      <c r="T22" s="2">
        <v>1</v>
      </c>
    </row>
    <row r="23" spans="1:21" ht="15" thickBot="1" x14ac:dyDescent="0.45">
      <c r="A23" s="25"/>
      <c r="B23" s="75"/>
      <c r="C23" s="69"/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  <c r="R23" s="2">
        <v>1</v>
      </c>
      <c r="S23" s="2">
        <v>1</v>
      </c>
      <c r="T23" s="2">
        <v>1</v>
      </c>
    </row>
    <row r="24" spans="1:21" ht="15" thickBot="1" x14ac:dyDescent="0.45">
      <c r="A24" s="25"/>
      <c r="B24" s="75"/>
      <c r="C24" s="69"/>
      <c r="E24" s="74">
        <v>1</v>
      </c>
      <c r="F24" s="74">
        <v>0</v>
      </c>
      <c r="G24" s="74">
        <v>1</v>
      </c>
      <c r="H24" s="74">
        <v>0</v>
      </c>
      <c r="I24" s="74">
        <v>1</v>
      </c>
      <c r="J24" s="74">
        <v>0</v>
      </c>
      <c r="K24" s="74">
        <v>1</v>
      </c>
      <c r="L24" s="74">
        <v>0</v>
      </c>
      <c r="M24" s="74">
        <v>0</v>
      </c>
      <c r="N24" s="74">
        <v>1</v>
      </c>
      <c r="O24" s="74">
        <v>0</v>
      </c>
      <c r="P24" s="74">
        <v>1</v>
      </c>
      <c r="Q24" s="74">
        <v>0</v>
      </c>
      <c r="R24" s="74">
        <v>0</v>
      </c>
      <c r="S24" s="74">
        <v>0</v>
      </c>
      <c r="T24" s="74">
        <v>0</v>
      </c>
    </row>
    <row r="25" spans="1:21" ht="15" thickBot="1" x14ac:dyDescent="0.45">
      <c r="A25" s="25"/>
      <c r="B25" s="75"/>
      <c r="C25" s="69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>
        <v>1</v>
      </c>
    </row>
    <row r="26" spans="1:21" ht="15" thickBot="1" x14ac:dyDescent="0.45">
      <c r="A26" s="25"/>
      <c r="B26" s="75"/>
      <c r="C26" s="69"/>
      <c r="E26" s="76">
        <v>1</v>
      </c>
      <c r="F26" s="76">
        <v>0</v>
      </c>
      <c r="G26" s="76">
        <v>1</v>
      </c>
      <c r="H26" s="76">
        <v>0</v>
      </c>
      <c r="I26" s="2">
        <v>1</v>
      </c>
      <c r="J26" s="2">
        <v>0</v>
      </c>
      <c r="K26" s="2">
        <v>1</v>
      </c>
      <c r="L26" s="2">
        <v>0</v>
      </c>
      <c r="M26" s="76">
        <v>0</v>
      </c>
      <c r="N26" s="76">
        <v>1</v>
      </c>
      <c r="O26" s="76">
        <v>0</v>
      </c>
      <c r="P26" s="76">
        <v>1</v>
      </c>
      <c r="Q26" s="2">
        <v>0</v>
      </c>
      <c r="R26" s="2">
        <v>0</v>
      </c>
      <c r="S26" s="2">
        <v>0</v>
      </c>
      <c r="T26" s="2">
        <v>1</v>
      </c>
    </row>
    <row r="27" spans="1:21" ht="15" thickBot="1" x14ac:dyDescent="0.45">
      <c r="A27" s="25"/>
      <c r="B27" s="68" t="s">
        <v>109</v>
      </c>
      <c r="C27" s="69"/>
      <c r="H27" s="2" t="s">
        <v>222</v>
      </c>
      <c r="L27" s="2" t="s">
        <v>222</v>
      </c>
      <c r="P27" s="2">
        <v>5</v>
      </c>
      <c r="T27" s="2">
        <v>1</v>
      </c>
    </row>
    <row r="29" spans="1:21" x14ac:dyDescent="0.4">
      <c r="A29" s="2" t="s">
        <v>142</v>
      </c>
    </row>
    <row r="30" spans="1:21" x14ac:dyDescent="0.4">
      <c r="A30" s="2" t="s">
        <v>167</v>
      </c>
    </row>
    <row r="31" spans="1:21" x14ac:dyDescent="0.4">
      <c r="A31" s="2" t="s">
        <v>168</v>
      </c>
    </row>
    <row r="32" spans="1:21" x14ac:dyDescent="0.4">
      <c r="A32" s="2" t="s">
        <v>142</v>
      </c>
    </row>
    <row r="33" spans="1:2" x14ac:dyDescent="0.4">
      <c r="A33" s="2" t="s">
        <v>145</v>
      </c>
    </row>
    <row r="34" spans="1:2" x14ac:dyDescent="0.4">
      <c r="A34" s="2" t="s">
        <v>146</v>
      </c>
    </row>
    <row r="35" spans="1:2" x14ac:dyDescent="0.4">
      <c r="A35" s="2" t="s">
        <v>147</v>
      </c>
    </row>
    <row r="36" spans="1:2" x14ac:dyDescent="0.4">
      <c r="A36" s="2" t="s">
        <v>169</v>
      </c>
    </row>
    <row r="37" spans="1:2" x14ac:dyDescent="0.4">
      <c r="B37" s="1" t="s">
        <v>170</v>
      </c>
    </row>
    <row r="38" spans="1:2" x14ac:dyDescent="0.4">
      <c r="B38" s="1" t="s">
        <v>171</v>
      </c>
    </row>
    <row r="39" spans="1:2" x14ac:dyDescent="0.4">
      <c r="B39" s="1" t="s">
        <v>172</v>
      </c>
    </row>
    <row r="40" spans="1:2" x14ac:dyDescent="0.4">
      <c r="B40" s="1" t="s">
        <v>173</v>
      </c>
    </row>
    <row r="41" spans="1:2" x14ac:dyDescent="0.4">
      <c r="A41" s="2" t="s">
        <v>174</v>
      </c>
    </row>
    <row r="42" spans="1:2" x14ac:dyDescent="0.4">
      <c r="A42" s="2" t="s">
        <v>175</v>
      </c>
    </row>
    <row r="43" spans="1:2" x14ac:dyDescent="0.4">
      <c r="B43" s="1" t="s">
        <v>176</v>
      </c>
    </row>
    <row r="44" spans="1:2" x14ac:dyDescent="0.4">
      <c r="B44" s="1" t="s">
        <v>177</v>
      </c>
    </row>
    <row r="45" spans="1:2" x14ac:dyDescent="0.4">
      <c r="B45" s="1" t="s">
        <v>178</v>
      </c>
    </row>
    <row r="46" spans="1:2" x14ac:dyDescent="0.4">
      <c r="B46" s="1" t="s">
        <v>179</v>
      </c>
    </row>
    <row r="47" spans="1:2" x14ac:dyDescent="0.4">
      <c r="A47" s="2" t="s">
        <v>158</v>
      </c>
    </row>
    <row r="48" spans="1:2" x14ac:dyDescent="0.4">
      <c r="A48" s="2" t="s">
        <v>159</v>
      </c>
    </row>
    <row r="49" spans="1:1" x14ac:dyDescent="0.4">
      <c r="A49" s="2" t="s">
        <v>160</v>
      </c>
    </row>
    <row r="50" spans="1:1" x14ac:dyDescent="0.4">
      <c r="A50" s="2" t="s">
        <v>161</v>
      </c>
    </row>
    <row r="51" spans="1:1" x14ac:dyDescent="0.4">
      <c r="A51" s="2" t="s">
        <v>213</v>
      </c>
    </row>
    <row r="52" spans="1:1" x14ac:dyDescent="0.4">
      <c r="A52" s="2" t="s">
        <v>163</v>
      </c>
    </row>
    <row r="53" spans="1:1" x14ac:dyDescent="0.4">
      <c r="A53" s="2" t="s">
        <v>164</v>
      </c>
    </row>
    <row r="54" spans="1:1" x14ac:dyDescent="0.4">
      <c r="A54" s="2" t="s">
        <v>165</v>
      </c>
    </row>
    <row r="55" spans="1:1" x14ac:dyDescent="0.4">
      <c r="A55" s="2" t="s">
        <v>205</v>
      </c>
    </row>
    <row r="56" spans="1:1" x14ac:dyDescent="0.4">
      <c r="A56" s="2" t="s">
        <v>206</v>
      </c>
    </row>
    <row r="57" spans="1:1" x14ac:dyDescent="0.4">
      <c r="A57" s="2" t="s">
        <v>207</v>
      </c>
    </row>
    <row r="58" spans="1:1" x14ac:dyDescent="0.4">
      <c r="A58" s="2" t="s">
        <v>208</v>
      </c>
    </row>
    <row r="59" spans="1:1" x14ac:dyDescent="0.4">
      <c r="A59" s="2" t="s">
        <v>209</v>
      </c>
    </row>
    <row r="60" spans="1:1" x14ac:dyDescent="0.4">
      <c r="A60" s="2" t="s">
        <v>210</v>
      </c>
    </row>
    <row r="61" spans="1:1" x14ac:dyDescent="0.4">
      <c r="A61" s="2" t="s">
        <v>211</v>
      </c>
    </row>
    <row r="62" spans="1:1" x14ac:dyDescent="0.4">
      <c r="A62" s="2" t="s">
        <v>212</v>
      </c>
    </row>
    <row r="63" spans="1:1" x14ac:dyDescent="0.4">
      <c r="A63" s="2" t="s">
        <v>166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N83"/>
  <sheetViews>
    <sheetView topLeftCell="A28" zoomScale="115" zoomScaleNormal="115" workbookViewId="0">
      <selection activeCell="B35" sqref="B35"/>
    </sheetView>
  </sheetViews>
  <sheetFormatPr baseColWidth="10" defaultColWidth="10.921875" defaultRowHeight="14.6" x14ac:dyDescent="0.4"/>
  <cols>
    <col min="1" max="1" width="5.765625" style="2" customWidth="1"/>
    <col min="2" max="2" width="17.23046875" style="1" customWidth="1"/>
    <col min="3" max="3" width="9.61328125" style="20" customWidth="1"/>
    <col min="4" max="4" width="10.3828125" style="2" customWidth="1"/>
    <col min="5" max="5" width="11.61328125" style="2" customWidth="1"/>
    <col min="6" max="6" width="12.07421875" style="2" customWidth="1"/>
    <col min="7" max="10" width="10.15234375" style="2" customWidth="1"/>
    <col min="11" max="12" width="8.69140625" style="2" customWidth="1"/>
    <col min="13" max="20" width="7.61328125" style="2" customWidth="1"/>
    <col min="21" max="21" width="6.4609375" style="2" customWidth="1"/>
    <col min="22" max="22" width="6.15234375" style="2" customWidth="1"/>
    <col min="23" max="36" width="5.69140625" style="2" customWidth="1"/>
    <col min="37" max="38" width="5.3828125" style="2" customWidth="1"/>
    <col min="39" max="39" width="10.921875" style="2"/>
    <col min="40" max="40" width="10.921875" style="22"/>
    <col min="41" max="16384" width="10.921875" style="2"/>
  </cols>
  <sheetData>
    <row r="2" spans="1:40" x14ac:dyDescent="0.4">
      <c r="C2" s="20" t="s">
        <v>4</v>
      </c>
      <c r="E2" s="2" t="s">
        <v>36</v>
      </c>
      <c r="U2" s="2" t="s">
        <v>35</v>
      </c>
    </row>
    <row r="3" spans="1:40" ht="15" thickBot="1" x14ac:dyDescent="0.45">
      <c r="A3" s="2" t="s">
        <v>22</v>
      </c>
      <c r="B3" s="1" t="s">
        <v>1</v>
      </c>
      <c r="C3" s="20" t="s">
        <v>0</v>
      </c>
      <c r="D3" s="2" t="s">
        <v>194</v>
      </c>
      <c r="E3" s="2" t="s">
        <v>37</v>
      </c>
      <c r="U3" s="2" t="s">
        <v>66</v>
      </c>
    </row>
    <row r="4" spans="1:40" x14ac:dyDescent="0.4">
      <c r="A4" s="25" t="s">
        <v>193</v>
      </c>
      <c r="B4" s="79" t="s">
        <v>98</v>
      </c>
      <c r="C4" s="80" t="s">
        <v>195</v>
      </c>
      <c r="U4" s="2" t="s">
        <v>24</v>
      </c>
    </row>
    <row r="5" spans="1:40" x14ac:dyDescent="0.4">
      <c r="A5" s="25"/>
      <c r="B5" s="64" t="s">
        <v>99</v>
      </c>
      <c r="C5" s="81" t="s">
        <v>195</v>
      </c>
    </row>
    <row r="6" spans="1:40" x14ac:dyDescent="0.4">
      <c r="A6" s="25"/>
      <c r="B6" s="64" t="s">
        <v>100</v>
      </c>
      <c r="C6" s="81" t="s">
        <v>196</v>
      </c>
      <c r="E6" s="6">
        <f t="shared" ref="E6:T6" si="0">F6+1</f>
        <v>32</v>
      </c>
      <c r="F6" s="6">
        <f t="shared" si="0"/>
        <v>31</v>
      </c>
      <c r="G6" s="6">
        <f t="shared" si="0"/>
        <v>30</v>
      </c>
      <c r="H6" s="6">
        <f t="shared" si="0"/>
        <v>29</v>
      </c>
      <c r="I6" s="6">
        <f t="shared" si="0"/>
        <v>28</v>
      </c>
      <c r="J6" s="6">
        <f t="shared" si="0"/>
        <v>27</v>
      </c>
      <c r="K6" s="6">
        <f t="shared" si="0"/>
        <v>26</v>
      </c>
      <c r="L6" s="6">
        <f t="shared" si="0"/>
        <v>25</v>
      </c>
      <c r="M6" s="6">
        <f t="shared" si="0"/>
        <v>24</v>
      </c>
      <c r="N6" s="6">
        <f t="shared" si="0"/>
        <v>23</v>
      </c>
      <c r="O6" s="6">
        <f t="shared" si="0"/>
        <v>22</v>
      </c>
      <c r="P6" s="6">
        <f t="shared" si="0"/>
        <v>21</v>
      </c>
      <c r="Q6" s="6">
        <f t="shared" si="0"/>
        <v>20</v>
      </c>
      <c r="R6" s="6">
        <f t="shared" si="0"/>
        <v>19</v>
      </c>
      <c r="S6" s="6">
        <f t="shared" si="0"/>
        <v>18</v>
      </c>
      <c r="T6" s="6">
        <f t="shared" si="0"/>
        <v>17</v>
      </c>
      <c r="U6" s="6">
        <f t="shared" ref="U6:AH6" si="1">V6+1</f>
        <v>16</v>
      </c>
      <c r="V6" s="6">
        <f t="shared" si="1"/>
        <v>15</v>
      </c>
      <c r="W6" s="6">
        <f t="shared" si="1"/>
        <v>14</v>
      </c>
      <c r="X6" s="6">
        <f t="shared" si="1"/>
        <v>13</v>
      </c>
      <c r="Y6" s="6">
        <f t="shared" si="1"/>
        <v>12</v>
      </c>
      <c r="Z6" s="6">
        <f t="shared" si="1"/>
        <v>11</v>
      </c>
      <c r="AA6" s="6">
        <f t="shared" si="1"/>
        <v>10</v>
      </c>
      <c r="AB6" s="6">
        <f t="shared" si="1"/>
        <v>9</v>
      </c>
      <c r="AC6" s="6">
        <f t="shared" si="1"/>
        <v>8</v>
      </c>
      <c r="AD6" s="6">
        <f t="shared" si="1"/>
        <v>7</v>
      </c>
      <c r="AE6" s="6">
        <f t="shared" si="1"/>
        <v>6</v>
      </c>
      <c r="AF6" s="6">
        <f t="shared" si="1"/>
        <v>5</v>
      </c>
      <c r="AG6" s="6">
        <f t="shared" si="1"/>
        <v>4</v>
      </c>
      <c r="AH6" s="6">
        <f t="shared" si="1"/>
        <v>3</v>
      </c>
      <c r="AI6" s="6">
        <f>AJ6+1</f>
        <v>2</v>
      </c>
      <c r="AJ6" s="6">
        <v>1</v>
      </c>
      <c r="AK6" s="2" t="s">
        <v>5</v>
      </c>
    </row>
    <row r="7" spans="1:40" x14ac:dyDescent="0.4">
      <c r="A7" s="25"/>
      <c r="B7" s="64" t="s">
        <v>101</v>
      </c>
      <c r="C7" s="81" t="s">
        <v>81</v>
      </c>
      <c r="D7" s="2" t="s">
        <v>197</v>
      </c>
      <c r="E7" s="2">
        <f t="shared" ref="E7:T7" si="2">F7*2</f>
        <v>2147483648</v>
      </c>
      <c r="F7" s="2">
        <f t="shared" si="2"/>
        <v>1073741824</v>
      </c>
      <c r="G7" s="2">
        <f t="shared" si="2"/>
        <v>536870912</v>
      </c>
      <c r="H7" s="2">
        <f t="shared" si="2"/>
        <v>268435456</v>
      </c>
      <c r="I7" s="2">
        <f t="shared" si="2"/>
        <v>134217728</v>
      </c>
      <c r="J7" s="2">
        <f t="shared" si="2"/>
        <v>67108864</v>
      </c>
      <c r="K7" s="2">
        <f t="shared" si="2"/>
        <v>33554432</v>
      </c>
      <c r="L7" s="2">
        <f t="shared" si="2"/>
        <v>16777216</v>
      </c>
      <c r="M7" s="2">
        <f t="shared" si="2"/>
        <v>8388608</v>
      </c>
      <c r="N7" s="2">
        <f t="shared" si="2"/>
        <v>4194304</v>
      </c>
      <c r="O7" s="2">
        <f t="shared" si="2"/>
        <v>2097152</v>
      </c>
      <c r="P7" s="2">
        <f t="shared" si="2"/>
        <v>1048576</v>
      </c>
      <c r="Q7" s="2">
        <f t="shared" si="2"/>
        <v>524288</v>
      </c>
      <c r="R7" s="2">
        <f t="shared" si="2"/>
        <v>262144</v>
      </c>
      <c r="S7" s="2">
        <f t="shared" si="2"/>
        <v>131072</v>
      </c>
      <c r="T7" s="2">
        <f t="shared" si="2"/>
        <v>65536</v>
      </c>
      <c r="U7" s="2">
        <f t="shared" ref="U7:AF7" si="3">V7*2</f>
        <v>32768</v>
      </c>
      <c r="V7" s="2">
        <f t="shared" si="3"/>
        <v>16384</v>
      </c>
      <c r="W7" s="2">
        <f t="shared" si="3"/>
        <v>8192</v>
      </c>
      <c r="X7" s="2">
        <f t="shared" si="3"/>
        <v>4096</v>
      </c>
      <c r="Y7" s="2">
        <f t="shared" si="3"/>
        <v>2048</v>
      </c>
      <c r="Z7" s="2">
        <f t="shared" si="3"/>
        <v>1024</v>
      </c>
      <c r="AA7" s="2">
        <f t="shared" si="3"/>
        <v>512</v>
      </c>
      <c r="AB7" s="2">
        <f t="shared" si="3"/>
        <v>256</v>
      </c>
      <c r="AC7" s="2">
        <f t="shared" si="3"/>
        <v>128</v>
      </c>
      <c r="AD7" s="2">
        <f t="shared" si="3"/>
        <v>64</v>
      </c>
      <c r="AE7" s="2">
        <f t="shared" si="3"/>
        <v>32</v>
      </c>
      <c r="AF7" s="2">
        <f t="shared" si="3"/>
        <v>16</v>
      </c>
      <c r="AG7" s="2">
        <f>AH7*2</f>
        <v>8</v>
      </c>
      <c r="AH7" s="2">
        <f>AI7*2</f>
        <v>4</v>
      </c>
      <c r="AI7" s="2">
        <f>AJ7*2</f>
        <v>2</v>
      </c>
      <c r="AJ7" s="2">
        <v>1</v>
      </c>
    </row>
    <row r="8" spans="1:40" ht="15" thickBot="1" x14ac:dyDescent="0.45">
      <c r="A8" s="25" t="s">
        <v>225</v>
      </c>
      <c r="B8" s="4" t="s">
        <v>102</v>
      </c>
      <c r="C8" s="24" t="s">
        <v>195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1</v>
      </c>
      <c r="AK8" s="32" t="s">
        <v>65</v>
      </c>
      <c r="AL8" s="25"/>
      <c r="AM8" s="25"/>
      <c r="AN8" s="26"/>
    </row>
    <row r="9" spans="1:40" x14ac:dyDescent="0.4">
      <c r="A9" s="25"/>
      <c r="B9" s="4" t="s">
        <v>103</v>
      </c>
      <c r="C9" s="24" t="s">
        <v>195</v>
      </c>
      <c r="E9" s="27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  <c r="AC9" s="28">
        <v>1</v>
      </c>
      <c r="AD9" s="28">
        <v>1</v>
      </c>
      <c r="AE9" s="28">
        <v>1</v>
      </c>
      <c r="AF9" s="28">
        <v>1</v>
      </c>
      <c r="AG9" s="28">
        <v>1</v>
      </c>
      <c r="AH9" s="28">
        <v>1</v>
      </c>
      <c r="AI9" s="28">
        <v>1</v>
      </c>
      <c r="AJ9" s="29">
        <v>0</v>
      </c>
      <c r="AK9" s="25" t="s">
        <v>32</v>
      </c>
      <c r="AL9" s="25"/>
      <c r="AM9" s="25"/>
      <c r="AN9" s="26"/>
    </row>
    <row r="10" spans="1:40" ht="15" thickBot="1" x14ac:dyDescent="0.45">
      <c r="A10" s="25"/>
      <c r="B10" s="4" t="s">
        <v>104</v>
      </c>
      <c r="C10" s="19" t="s">
        <v>196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1">
        <v>1</v>
      </c>
      <c r="AK10" s="13" t="s">
        <v>67</v>
      </c>
      <c r="AL10" s="13"/>
      <c r="AM10" s="13"/>
      <c r="AN10" s="26"/>
    </row>
    <row r="11" spans="1:40" x14ac:dyDescent="0.4">
      <c r="A11" s="25"/>
      <c r="B11" s="4" t="s">
        <v>105</v>
      </c>
      <c r="C11" s="19" t="s">
        <v>198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/>
      <c r="AL11" s="13"/>
      <c r="AM11" s="13" t="s">
        <v>68</v>
      </c>
      <c r="AN11" s="26"/>
    </row>
    <row r="12" spans="1:40" x14ac:dyDescent="0.4">
      <c r="A12" s="25" t="s">
        <v>38</v>
      </c>
      <c r="B12" s="64" t="s">
        <v>106</v>
      </c>
      <c r="C12" s="81" t="s">
        <v>44</v>
      </c>
      <c r="U12" s="13"/>
      <c r="V12" s="13"/>
      <c r="W12" s="13"/>
      <c r="X12" s="13"/>
      <c r="Y12" s="13"/>
      <c r="Z12" s="13"/>
      <c r="AA12" s="13"/>
      <c r="AB12" s="13"/>
      <c r="AC12" s="13" t="s">
        <v>223</v>
      </c>
      <c r="AD12" s="13" t="s">
        <v>223</v>
      </c>
      <c r="AE12" s="13" t="s">
        <v>223</v>
      </c>
      <c r="AF12" s="13" t="s">
        <v>223</v>
      </c>
      <c r="AG12" s="13" t="s">
        <v>223</v>
      </c>
      <c r="AH12" s="13" t="s">
        <v>223</v>
      </c>
      <c r="AI12" s="13" t="s">
        <v>223</v>
      </c>
      <c r="AJ12" s="13" t="s">
        <v>223</v>
      </c>
      <c r="AK12" s="13">
        <v>-1</v>
      </c>
      <c r="AL12" s="13"/>
      <c r="AM12" s="13"/>
      <c r="AN12" s="26"/>
    </row>
    <row r="13" spans="1:40" x14ac:dyDescent="0.4">
      <c r="A13" s="25"/>
      <c r="B13" s="64" t="s">
        <v>107</v>
      </c>
      <c r="C13" s="81" t="s">
        <v>45</v>
      </c>
      <c r="E13" s="2" t="s">
        <v>60</v>
      </c>
      <c r="L13" s="2" t="s">
        <v>62</v>
      </c>
      <c r="AB13" s="21"/>
      <c r="AC13" s="6">
        <f t="shared" ref="AC13" si="4">AD13+1</f>
        <v>8</v>
      </c>
      <c r="AD13" s="6">
        <f t="shared" ref="AD13" si="5">AE13+1</f>
        <v>7</v>
      </c>
      <c r="AE13" s="6">
        <f t="shared" ref="AE13" si="6">AF13+1</f>
        <v>6</v>
      </c>
      <c r="AF13" s="6">
        <f t="shared" ref="AF13" si="7">AG13+1</f>
        <v>5</v>
      </c>
      <c r="AG13" s="6">
        <f t="shared" ref="AG13" si="8">AH13+1</f>
        <v>4</v>
      </c>
      <c r="AH13" s="6">
        <f t="shared" ref="AH13" si="9">AI13+1</f>
        <v>3</v>
      </c>
      <c r="AI13" s="6">
        <f>AJ13+1</f>
        <v>2</v>
      </c>
      <c r="AJ13" s="6">
        <v>1</v>
      </c>
      <c r="AK13" s="21"/>
    </row>
    <row r="14" spans="1:40" x14ac:dyDescent="0.4">
      <c r="A14" s="25"/>
      <c r="B14" s="64" t="s">
        <v>92</v>
      </c>
      <c r="C14" s="81" t="s">
        <v>48</v>
      </c>
      <c r="E14" s="2" t="s">
        <v>61</v>
      </c>
      <c r="L14" s="2" t="s">
        <v>63</v>
      </c>
      <c r="M14" s="2" t="s">
        <v>64</v>
      </c>
      <c r="AC14" s="2">
        <f t="shared" ref="AC14" si="10">AD14*2</f>
        <v>128</v>
      </c>
      <c r="AD14" s="2">
        <f t="shared" ref="AD14" si="11">AE14*2</f>
        <v>64</v>
      </c>
      <c r="AE14" s="2">
        <f t="shared" ref="AE14" si="12">AF14*2</f>
        <v>32</v>
      </c>
      <c r="AF14" s="2">
        <f t="shared" ref="AF14" si="13">AG14*2</f>
        <v>16</v>
      </c>
      <c r="AG14" s="2">
        <f>AH14*2</f>
        <v>8</v>
      </c>
      <c r="AH14" s="2">
        <f>AI14*2</f>
        <v>4</v>
      </c>
      <c r="AI14" s="2">
        <f>AJ14*2</f>
        <v>2</v>
      </c>
      <c r="AJ14" s="2">
        <v>1</v>
      </c>
    </row>
    <row r="15" spans="1:40" ht="15" thickBot="1" x14ac:dyDescent="0.45">
      <c r="A15" s="25"/>
      <c r="B15" s="64" t="s">
        <v>93</v>
      </c>
      <c r="C15" s="81" t="s">
        <v>47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1</v>
      </c>
    </row>
    <row r="16" spans="1:40" x14ac:dyDescent="0.4">
      <c r="A16" s="25" t="s">
        <v>39</v>
      </c>
      <c r="B16" s="67" t="s">
        <v>94</v>
      </c>
      <c r="C16" s="24" t="s">
        <v>49</v>
      </c>
      <c r="AC16" s="28">
        <v>1</v>
      </c>
      <c r="AD16" s="28">
        <v>1</v>
      </c>
      <c r="AE16" s="28">
        <v>1</v>
      </c>
      <c r="AF16" s="28">
        <v>1</v>
      </c>
      <c r="AG16" s="28">
        <v>1</v>
      </c>
      <c r="AH16" s="28">
        <v>1</v>
      </c>
      <c r="AI16" s="28">
        <v>1</v>
      </c>
      <c r="AJ16" s="29">
        <v>0</v>
      </c>
    </row>
    <row r="17" spans="1:37" ht="15" thickBot="1" x14ac:dyDescent="0.45">
      <c r="A17" s="25"/>
      <c r="B17" s="67" t="s">
        <v>95</v>
      </c>
      <c r="C17" s="24" t="s">
        <v>49</v>
      </c>
      <c r="AC17" s="30"/>
      <c r="AD17" s="30"/>
      <c r="AE17" s="30"/>
      <c r="AF17" s="30"/>
      <c r="AG17" s="30"/>
      <c r="AH17" s="30"/>
      <c r="AI17" s="30"/>
      <c r="AJ17" s="31">
        <v>1</v>
      </c>
    </row>
    <row r="18" spans="1:37" x14ac:dyDescent="0.4">
      <c r="A18" s="25"/>
      <c r="B18" s="67" t="s">
        <v>96</v>
      </c>
      <c r="C18" s="24" t="s">
        <v>49</v>
      </c>
      <c r="G18" s="2" t="s">
        <v>227</v>
      </c>
      <c r="H18" s="2" t="s">
        <v>222</v>
      </c>
      <c r="I18" s="2">
        <v>0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</row>
    <row r="19" spans="1:37" ht="15" thickBot="1" x14ac:dyDescent="0.45">
      <c r="A19" s="25"/>
      <c r="B19" s="68" t="s">
        <v>97</v>
      </c>
      <c r="C19" s="35" t="s">
        <v>49</v>
      </c>
      <c r="G19" s="2">
        <v>61</v>
      </c>
      <c r="H19" s="2">
        <v>41</v>
      </c>
      <c r="I19" s="2">
        <v>30</v>
      </c>
      <c r="AF19" s="2" t="s">
        <v>223</v>
      </c>
      <c r="AJ19" s="2" t="s">
        <v>223</v>
      </c>
      <c r="AK19" s="2">
        <v>-1</v>
      </c>
    </row>
    <row r="20" spans="1:37" ht="15" thickBot="1" x14ac:dyDescent="0.45">
      <c r="A20" s="63" t="s">
        <v>40</v>
      </c>
      <c r="B20" s="83" t="s">
        <v>108</v>
      </c>
      <c r="C20" s="84" t="s">
        <v>50</v>
      </c>
      <c r="D20" s="2">
        <v>1</v>
      </c>
      <c r="G20" s="2">
        <v>62</v>
      </c>
      <c r="H20" s="2">
        <v>42</v>
      </c>
      <c r="I20" s="2">
        <v>31</v>
      </c>
    </row>
    <row r="21" spans="1:37" ht="15" thickBot="1" x14ac:dyDescent="0.45">
      <c r="A21" s="63"/>
      <c r="B21" s="85" t="s">
        <v>109</v>
      </c>
      <c r="C21" s="86" t="s">
        <v>51</v>
      </c>
      <c r="D21" s="2">
        <v>2</v>
      </c>
      <c r="G21" s="2">
        <v>63</v>
      </c>
      <c r="H21" s="2">
        <v>43</v>
      </c>
      <c r="I21" s="2">
        <v>32</v>
      </c>
      <c r="U21" s="6">
        <f t="shared" ref="U21" si="14">V21+1</f>
        <v>16</v>
      </c>
      <c r="V21" s="6">
        <f t="shared" ref="V21" si="15">W21+1</f>
        <v>15</v>
      </c>
      <c r="W21" s="6">
        <f t="shared" ref="W21" si="16">X21+1</f>
        <v>14</v>
      </c>
      <c r="X21" s="6">
        <f t="shared" ref="X21" si="17">Y21+1</f>
        <v>13</v>
      </c>
      <c r="Y21" s="6">
        <f t="shared" ref="Y21" si="18">Z21+1</f>
        <v>12</v>
      </c>
      <c r="Z21" s="6">
        <f t="shared" ref="Z21" si="19">AA21+1</f>
        <v>11</v>
      </c>
      <c r="AA21" s="6">
        <f t="shared" ref="AA21" si="20">AB21+1</f>
        <v>10</v>
      </c>
      <c r="AB21" s="6">
        <f t="shared" ref="AB21" si="21">AC21+1</f>
        <v>9</v>
      </c>
      <c r="AC21" s="6">
        <f t="shared" ref="AC21" si="22">AD21+1</f>
        <v>8</v>
      </c>
      <c r="AD21" s="6">
        <f t="shared" ref="AD21" si="23">AE21+1</f>
        <v>7</v>
      </c>
      <c r="AE21" s="6">
        <f t="shared" ref="AE21" si="24">AF21+1</f>
        <v>6</v>
      </c>
      <c r="AF21" s="6">
        <f t="shared" ref="AF21" si="25">AG21+1</f>
        <v>5</v>
      </c>
      <c r="AG21" s="6">
        <f t="shared" ref="AG21" si="26">AH21+1</f>
        <v>4</v>
      </c>
      <c r="AH21" s="6">
        <f t="shared" ref="AH21" si="27">AI21+1</f>
        <v>3</v>
      </c>
      <c r="AI21" s="6">
        <f>AJ21+1</f>
        <v>2</v>
      </c>
      <c r="AJ21" s="6">
        <v>1</v>
      </c>
    </row>
    <row r="22" spans="1:37" ht="15" thickBot="1" x14ac:dyDescent="0.45">
      <c r="A22" s="87"/>
      <c r="B22" s="85" t="s">
        <v>110</v>
      </c>
      <c r="C22" s="88" t="s">
        <v>52</v>
      </c>
      <c r="D22" s="2">
        <v>3</v>
      </c>
      <c r="G22" s="2">
        <v>64</v>
      </c>
      <c r="H22" s="2">
        <v>44</v>
      </c>
      <c r="I22" s="2">
        <v>33</v>
      </c>
      <c r="U22" s="2">
        <f t="shared" ref="U22" si="28">V22*2</f>
        <v>32768</v>
      </c>
      <c r="V22" s="2">
        <f t="shared" ref="V22" si="29">W22*2</f>
        <v>16384</v>
      </c>
      <c r="W22" s="2">
        <f t="shared" ref="W22" si="30">X22*2</f>
        <v>8192</v>
      </c>
      <c r="X22" s="2">
        <f t="shared" ref="X22" si="31">Y22*2</f>
        <v>4096</v>
      </c>
      <c r="Y22" s="2">
        <f t="shared" ref="Y22" si="32">Z22*2</f>
        <v>2048</v>
      </c>
      <c r="Z22" s="2">
        <f t="shared" ref="Z22" si="33">AA22*2</f>
        <v>1024</v>
      </c>
      <c r="AA22" s="2">
        <f t="shared" ref="AA22" si="34">AB22*2</f>
        <v>512</v>
      </c>
      <c r="AB22" s="2">
        <f t="shared" ref="AB22" si="35">AC22*2</f>
        <v>256</v>
      </c>
      <c r="AC22" s="2">
        <f t="shared" ref="AC22" si="36">AD22*2</f>
        <v>128</v>
      </c>
      <c r="AD22" s="2">
        <f t="shared" ref="AD22" si="37">AE22*2</f>
        <v>64</v>
      </c>
      <c r="AE22" s="2">
        <f t="shared" ref="AE22" si="38">AF22*2</f>
        <v>32</v>
      </c>
      <c r="AF22" s="2">
        <f t="shared" ref="AF22" si="39">AG22*2</f>
        <v>16</v>
      </c>
      <c r="AG22" s="2">
        <f>AH22*2</f>
        <v>8</v>
      </c>
      <c r="AH22" s="2">
        <f>AI22*2</f>
        <v>4</v>
      </c>
      <c r="AI22" s="2">
        <f>AJ22*2</f>
        <v>2</v>
      </c>
      <c r="AJ22" s="2">
        <v>1</v>
      </c>
    </row>
    <row r="23" spans="1:37" ht="15" thickBot="1" x14ac:dyDescent="0.45">
      <c r="A23" s="87"/>
      <c r="B23" s="85" t="s">
        <v>111</v>
      </c>
      <c r="C23" s="88" t="s">
        <v>48</v>
      </c>
      <c r="D23" s="2">
        <v>4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1</v>
      </c>
    </row>
    <row r="24" spans="1:37" ht="15" thickBot="1" x14ac:dyDescent="0.45">
      <c r="A24" s="33" t="s">
        <v>41</v>
      </c>
      <c r="B24" s="89" t="s">
        <v>112</v>
      </c>
      <c r="C24" s="90" t="s">
        <v>53</v>
      </c>
      <c r="D24" s="2">
        <v>0</v>
      </c>
      <c r="E24" s="2">
        <v>123456789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  <c r="AC24" s="28">
        <v>1</v>
      </c>
      <c r="AD24" s="28">
        <v>1</v>
      </c>
      <c r="AE24" s="28">
        <v>1</v>
      </c>
      <c r="AF24" s="28">
        <v>1</v>
      </c>
      <c r="AG24" s="28">
        <v>1</v>
      </c>
      <c r="AH24" s="28">
        <v>1</v>
      </c>
      <c r="AI24" s="28">
        <v>1</v>
      </c>
      <c r="AJ24" s="29">
        <v>0</v>
      </c>
    </row>
    <row r="25" spans="1:37" ht="15" thickBot="1" x14ac:dyDescent="0.45">
      <c r="A25" s="82"/>
      <c r="B25" s="91" t="s">
        <v>113</v>
      </c>
      <c r="C25" s="92" t="s">
        <v>50</v>
      </c>
      <c r="D25" s="2">
        <v>1</v>
      </c>
      <c r="E25" s="2" t="s">
        <v>200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>
        <v>1</v>
      </c>
    </row>
    <row r="26" spans="1:37" x14ac:dyDescent="0.4">
      <c r="A26" s="33"/>
      <c r="B26" s="91" t="s">
        <v>114</v>
      </c>
      <c r="C26" s="90" t="s">
        <v>51</v>
      </c>
      <c r="D26" s="2">
        <v>2</v>
      </c>
      <c r="U26" s="13">
        <v>1</v>
      </c>
      <c r="V26" s="13">
        <v>1</v>
      </c>
      <c r="W26" s="13">
        <v>1</v>
      </c>
      <c r="X26" s="13">
        <v>1</v>
      </c>
      <c r="Y26" s="13">
        <v>1</v>
      </c>
      <c r="Z26" s="13">
        <v>1</v>
      </c>
      <c r="AA26" s="13">
        <v>1</v>
      </c>
      <c r="AB26" s="13">
        <v>1</v>
      </c>
      <c r="AC26" s="13">
        <v>1</v>
      </c>
      <c r="AD26" s="13">
        <v>1</v>
      </c>
      <c r="AE26" s="13">
        <v>1</v>
      </c>
      <c r="AF26" s="13">
        <v>1</v>
      </c>
      <c r="AG26" s="13">
        <v>1</v>
      </c>
      <c r="AH26" s="13">
        <v>1</v>
      </c>
      <c r="AI26" s="13">
        <v>1</v>
      </c>
      <c r="AJ26" s="13">
        <v>1</v>
      </c>
    </row>
    <row r="27" spans="1:37" x14ac:dyDescent="0.4">
      <c r="A27" s="33"/>
      <c r="B27" s="91" t="s">
        <v>115</v>
      </c>
      <c r="C27" s="90" t="s">
        <v>52</v>
      </c>
      <c r="D27" s="2">
        <v>3</v>
      </c>
    </row>
    <row r="28" spans="1:37" x14ac:dyDescent="0.4">
      <c r="A28" s="33"/>
      <c r="B28" s="93" t="s">
        <v>116</v>
      </c>
      <c r="C28" s="94" t="s">
        <v>48</v>
      </c>
      <c r="D28" s="2">
        <v>4</v>
      </c>
      <c r="AG28" s="2" t="s">
        <v>223</v>
      </c>
      <c r="AH28" s="2" t="s">
        <v>223</v>
      </c>
      <c r="AI28" s="2" t="s">
        <v>223</v>
      </c>
      <c r="AJ28" s="2" t="s">
        <v>223</v>
      </c>
      <c r="AK28" s="2">
        <v>-1</v>
      </c>
    </row>
    <row r="29" spans="1:37" x14ac:dyDescent="0.4">
      <c r="A29" s="33"/>
      <c r="B29" s="93" t="s">
        <v>117</v>
      </c>
      <c r="C29" s="94" t="s">
        <v>55</v>
      </c>
      <c r="D29" s="2">
        <v>5</v>
      </c>
    </row>
    <row r="30" spans="1:37" x14ac:dyDescent="0.4">
      <c r="A30" s="33"/>
      <c r="B30" s="93" t="s">
        <v>118</v>
      </c>
      <c r="C30" s="94" t="s">
        <v>56</v>
      </c>
      <c r="D30" s="2">
        <v>6</v>
      </c>
    </row>
    <row r="31" spans="1:37" x14ac:dyDescent="0.4">
      <c r="A31" s="33"/>
      <c r="B31" s="93" t="s">
        <v>119</v>
      </c>
      <c r="C31" s="94" t="s">
        <v>57</v>
      </c>
      <c r="D31" s="2">
        <v>7</v>
      </c>
    </row>
    <row r="32" spans="1:37" x14ac:dyDescent="0.4">
      <c r="A32" s="33"/>
      <c r="B32" s="96" t="s">
        <v>120</v>
      </c>
      <c r="C32" s="95" t="s">
        <v>58</v>
      </c>
      <c r="D32" s="2">
        <v>8</v>
      </c>
    </row>
    <row r="33" spans="1:4" x14ac:dyDescent="0.4">
      <c r="A33" s="33"/>
      <c r="B33" s="96" t="s">
        <v>121</v>
      </c>
      <c r="C33" s="95" t="s">
        <v>59</v>
      </c>
      <c r="D33" s="2">
        <v>9</v>
      </c>
    </row>
    <row r="34" spans="1:4" x14ac:dyDescent="0.4">
      <c r="B34" s="96" t="s">
        <v>122</v>
      </c>
      <c r="C34" s="95" t="s">
        <v>86</v>
      </c>
    </row>
    <row r="35" spans="1:4" x14ac:dyDescent="0.4">
      <c r="A35" s="33"/>
      <c r="B35" s="96" t="s">
        <v>123</v>
      </c>
      <c r="C35" s="95" t="s">
        <v>86</v>
      </c>
    </row>
    <row r="36" spans="1:4" x14ac:dyDescent="0.4">
      <c r="A36" s="33" t="s">
        <v>199</v>
      </c>
      <c r="B36" s="97" t="s">
        <v>124</v>
      </c>
      <c r="C36" s="98" t="s">
        <v>48</v>
      </c>
    </row>
    <row r="37" spans="1:4" x14ac:dyDescent="0.4">
      <c r="A37" s="33"/>
      <c r="B37" s="97" t="s">
        <v>125</v>
      </c>
      <c r="C37" s="98" t="s">
        <v>47</v>
      </c>
    </row>
    <row r="38" spans="1:4" x14ac:dyDescent="0.4">
      <c r="A38" s="33"/>
      <c r="B38" s="97" t="s">
        <v>126</v>
      </c>
      <c r="C38" s="98" t="s">
        <v>86</v>
      </c>
    </row>
    <row r="39" spans="1:4" x14ac:dyDescent="0.4">
      <c r="A39" s="33"/>
      <c r="B39" s="97" t="s">
        <v>127</v>
      </c>
      <c r="C39" s="98" t="s">
        <v>86</v>
      </c>
    </row>
    <row r="40" spans="1:4" x14ac:dyDescent="0.4">
      <c r="A40" s="33"/>
      <c r="B40" s="55" t="s">
        <v>128</v>
      </c>
      <c r="C40" s="36"/>
    </row>
    <row r="41" spans="1:4" x14ac:dyDescent="0.4">
      <c r="A41" s="33"/>
      <c r="B41" s="55" t="s">
        <v>129</v>
      </c>
      <c r="C41" s="36"/>
    </row>
    <row r="42" spans="1:4" x14ac:dyDescent="0.4">
      <c r="A42" s="33"/>
      <c r="B42" s="55" t="s">
        <v>130</v>
      </c>
      <c r="C42" s="36"/>
    </row>
    <row r="43" spans="1:4" x14ac:dyDescent="0.4">
      <c r="A43" s="33"/>
      <c r="B43" s="55" t="s">
        <v>131</v>
      </c>
      <c r="C43" s="36"/>
    </row>
    <row r="44" spans="1:4" x14ac:dyDescent="0.4">
      <c r="A44" s="33"/>
      <c r="B44" s="55" t="s">
        <v>132</v>
      </c>
      <c r="C44" s="36"/>
    </row>
    <row r="45" spans="1:4" x14ac:dyDescent="0.4">
      <c r="A45" s="33"/>
      <c r="B45" s="55" t="s">
        <v>133</v>
      </c>
      <c r="C45" s="36"/>
    </row>
    <row r="46" spans="1:4" x14ac:dyDescent="0.4">
      <c r="A46" s="33"/>
      <c r="B46" s="55" t="s">
        <v>134</v>
      </c>
      <c r="C46" s="36"/>
    </row>
    <row r="47" spans="1:4" x14ac:dyDescent="0.4">
      <c r="A47" s="33"/>
      <c r="B47" s="55" t="s">
        <v>135</v>
      </c>
      <c r="C47" s="36"/>
    </row>
    <row r="48" spans="1:4" x14ac:dyDescent="0.4">
      <c r="A48" s="33"/>
      <c r="B48" s="55" t="s">
        <v>136</v>
      </c>
      <c r="C48" s="36"/>
    </row>
    <row r="49" spans="1:3" x14ac:dyDescent="0.4">
      <c r="A49" s="33"/>
      <c r="B49" s="55" t="s">
        <v>137</v>
      </c>
      <c r="C49" s="36"/>
    </row>
    <row r="50" spans="1:3" x14ac:dyDescent="0.4">
      <c r="A50" s="33"/>
      <c r="B50" s="55" t="s">
        <v>138</v>
      </c>
      <c r="C50" s="36"/>
    </row>
    <row r="51" spans="1:3" x14ac:dyDescent="0.4">
      <c r="A51" s="33"/>
      <c r="B51" s="58" t="s">
        <v>139</v>
      </c>
      <c r="C51" s="59"/>
    </row>
    <row r="52" spans="1:3" x14ac:dyDescent="0.4">
      <c r="A52" s="21"/>
      <c r="B52" s="46"/>
      <c r="C52" s="60"/>
    </row>
    <row r="53" spans="1:3" x14ac:dyDescent="0.4">
      <c r="A53" s="21"/>
      <c r="B53" s="46"/>
      <c r="C53" s="60"/>
    </row>
    <row r="54" spans="1:3" x14ac:dyDescent="0.4">
      <c r="A54" s="21"/>
      <c r="B54" s="46"/>
      <c r="C54" s="60"/>
    </row>
    <row r="55" spans="1:3" x14ac:dyDescent="0.4">
      <c r="A55" s="21"/>
      <c r="B55" s="46"/>
      <c r="C55" s="60"/>
    </row>
    <row r="58" spans="1:3" x14ac:dyDescent="0.4">
      <c r="A58" s="2" t="s">
        <v>142</v>
      </c>
    </row>
    <row r="59" spans="1:3" x14ac:dyDescent="0.4">
      <c r="A59" s="2" t="s">
        <v>180</v>
      </c>
    </row>
    <row r="60" spans="1:3" x14ac:dyDescent="0.4">
      <c r="A60" s="2" t="s">
        <v>181</v>
      </c>
    </row>
    <row r="61" spans="1:3" x14ac:dyDescent="0.4">
      <c r="A61" s="2" t="s">
        <v>142</v>
      </c>
    </row>
    <row r="62" spans="1:3" x14ac:dyDescent="0.4">
      <c r="A62" s="2" t="s">
        <v>146</v>
      </c>
    </row>
    <row r="63" spans="1:3" x14ac:dyDescent="0.4">
      <c r="A63" s="2" t="s">
        <v>145</v>
      </c>
    </row>
    <row r="64" spans="1:3" x14ac:dyDescent="0.4">
      <c r="A64" s="2" t="s">
        <v>147</v>
      </c>
    </row>
    <row r="65" spans="1:2" x14ac:dyDescent="0.4">
      <c r="A65" s="2" t="s">
        <v>182</v>
      </c>
    </row>
    <row r="66" spans="1:2" x14ac:dyDescent="0.4">
      <c r="A66" s="2" t="s">
        <v>214</v>
      </c>
    </row>
    <row r="67" spans="1:2" x14ac:dyDescent="0.4">
      <c r="A67" s="2" t="s">
        <v>215</v>
      </c>
    </row>
    <row r="68" spans="1:2" x14ac:dyDescent="0.4">
      <c r="A68" s="2" t="s">
        <v>63</v>
      </c>
      <c r="B68" s="1" t="s">
        <v>216</v>
      </c>
    </row>
    <row r="69" spans="1:2" x14ac:dyDescent="0.4">
      <c r="A69" s="2" t="s">
        <v>183</v>
      </c>
      <c r="B69" s="1" t="s">
        <v>184</v>
      </c>
    </row>
    <row r="70" spans="1:2" x14ac:dyDescent="0.4">
      <c r="A70" s="2" t="s">
        <v>62</v>
      </c>
    </row>
    <row r="71" spans="1:2" x14ac:dyDescent="0.4">
      <c r="A71" s="2" t="s">
        <v>185</v>
      </c>
    </row>
    <row r="72" spans="1:2" x14ac:dyDescent="0.4">
      <c r="A72" s="2" t="s">
        <v>217</v>
      </c>
    </row>
    <row r="73" spans="1:2" x14ac:dyDescent="0.4">
      <c r="A73" s="2" t="s">
        <v>158</v>
      </c>
    </row>
    <row r="74" spans="1:2" x14ac:dyDescent="0.4">
      <c r="A74" s="2" t="s">
        <v>159</v>
      </c>
    </row>
    <row r="75" spans="1:2" x14ac:dyDescent="0.4">
      <c r="A75" s="2" t="s">
        <v>160</v>
      </c>
    </row>
    <row r="76" spans="1:2" x14ac:dyDescent="0.4">
      <c r="A76" s="2" t="s">
        <v>161</v>
      </c>
    </row>
    <row r="77" spans="1:2" x14ac:dyDescent="0.4">
      <c r="A77" s="2" t="s">
        <v>166</v>
      </c>
    </row>
    <row r="79" spans="1:2" x14ac:dyDescent="0.4">
      <c r="A79" s="2" t="s">
        <v>162</v>
      </c>
    </row>
    <row r="80" spans="1:2" x14ac:dyDescent="0.4">
      <c r="A80" s="2" t="s">
        <v>163</v>
      </c>
    </row>
    <row r="81" spans="1:1" x14ac:dyDescent="0.4">
      <c r="A81" s="2" t="s">
        <v>164</v>
      </c>
    </row>
    <row r="82" spans="1:1" x14ac:dyDescent="0.4">
      <c r="A82" s="2" t="s">
        <v>165</v>
      </c>
    </row>
    <row r="83" spans="1:1" x14ac:dyDescent="0.4">
      <c r="A83" s="2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U83"/>
  <sheetViews>
    <sheetView tabSelected="1" topLeftCell="A13" zoomScale="120" zoomScaleNormal="120" workbookViewId="0">
      <selection activeCell="B24" sqref="B24"/>
    </sheetView>
  </sheetViews>
  <sheetFormatPr baseColWidth="10" defaultColWidth="10.921875" defaultRowHeight="14.6" x14ac:dyDescent="0.4"/>
  <cols>
    <col min="1" max="1" width="4.84375" style="25" customWidth="1"/>
    <col min="2" max="2" width="18.15234375" style="1" customWidth="1"/>
    <col min="3" max="3" width="9.61328125" style="34" customWidth="1"/>
    <col min="4" max="4" width="10.3828125" style="2" customWidth="1"/>
    <col min="5" max="20" width="3.61328125" style="1" customWidth="1"/>
    <col min="21" max="68" width="3.69140625" style="1" customWidth="1"/>
    <col min="69" max="70" width="5.3828125" style="2" customWidth="1"/>
    <col min="71" max="71" width="10.921875" style="2"/>
    <col min="72" max="72" width="10.921875" style="22"/>
    <col min="73" max="16384" width="10.921875" style="2"/>
  </cols>
  <sheetData>
    <row r="2" spans="1:73" x14ac:dyDescent="0.4">
      <c r="C2" s="34" t="s">
        <v>4</v>
      </c>
      <c r="E2" s="1" t="s">
        <v>69</v>
      </c>
    </row>
    <row r="3" spans="1:73" ht="15" thickBot="1" x14ac:dyDescent="0.45">
      <c r="A3" s="25" t="s">
        <v>22</v>
      </c>
      <c r="B3" s="2" t="s">
        <v>1</v>
      </c>
      <c r="C3" s="34" t="s">
        <v>0</v>
      </c>
      <c r="E3" s="1" t="s">
        <v>70</v>
      </c>
    </row>
    <row r="4" spans="1:73" x14ac:dyDescent="0.4">
      <c r="A4" s="51" t="s">
        <v>71</v>
      </c>
      <c r="B4" s="3" t="s">
        <v>98</v>
      </c>
      <c r="C4" s="47" t="s">
        <v>49</v>
      </c>
    </row>
    <row r="5" spans="1:73" x14ac:dyDescent="0.4">
      <c r="A5" s="51"/>
      <c r="B5" s="4" t="s">
        <v>99</v>
      </c>
      <c r="C5" s="48" t="s">
        <v>49</v>
      </c>
    </row>
    <row r="6" spans="1:73" x14ac:dyDescent="0.4">
      <c r="A6" s="51"/>
      <c r="B6" s="4" t="s">
        <v>100</v>
      </c>
      <c r="C6" s="48" t="s">
        <v>49</v>
      </c>
      <c r="E6" s="37">
        <f t="shared" ref="E6:AJ6" si="0">F6+1</f>
        <v>64</v>
      </c>
      <c r="F6" s="37">
        <f t="shared" si="0"/>
        <v>63</v>
      </c>
      <c r="G6" s="37">
        <f t="shared" si="0"/>
        <v>62</v>
      </c>
      <c r="H6" s="37">
        <f t="shared" si="0"/>
        <v>61</v>
      </c>
      <c r="I6" s="37">
        <f t="shared" si="0"/>
        <v>60</v>
      </c>
      <c r="J6" s="37">
        <f t="shared" si="0"/>
        <v>59</v>
      </c>
      <c r="K6" s="37">
        <f t="shared" si="0"/>
        <v>58</v>
      </c>
      <c r="L6" s="37">
        <f t="shared" si="0"/>
        <v>57</v>
      </c>
      <c r="M6" s="37">
        <f t="shared" si="0"/>
        <v>56</v>
      </c>
      <c r="N6" s="37">
        <f t="shared" si="0"/>
        <v>55</v>
      </c>
      <c r="O6" s="37">
        <f t="shared" si="0"/>
        <v>54</v>
      </c>
      <c r="P6" s="37">
        <f t="shared" si="0"/>
        <v>53</v>
      </c>
      <c r="Q6" s="37">
        <f t="shared" si="0"/>
        <v>52</v>
      </c>
      <c r="R6" s="37">
        <f t="shared" si="0"/>
        <v>51</v>
      </c>
      <c r="S6" s="37">
        <f t="shared" si="0"/>
        <v>50</v>
      </c>
      <c r="T6" s="37">
        <f t="shared" si="0"/>
        <v>49</v>
      </c>
      <c r="U6" s="37">
        <f t="shared" si="0"/>
        <v>48</v>
      </c>
      <c r="V6" s="37">
        <f t="shared" si="0"/>
        <v>47</v>
      </c>
      <c r="W6" s="37">
        <f t="shared" si="0"/>
        <v>46</v>
      </c>
      <c r="X6" s="37">
        <f t="shared" si="0"/>
        <v>45</v>
      </c>
      <c r="Y6" s="37">
        <f t="shared" si="0"/>
        <v>44</v>
      </c>
      <c r="Z6" s="37">
        <f t="shared" si="0"/>
        <v>43</v>
      </c>
      <c r="AA6" s="37">
        <f t="shared" si="0"/>
        <v>42</v>
      </c>
      <c r="AB6" s="37">
        <f t="shared" si="0"/>
        <v>41</v>
      </c>
      <c r="AC6" s="37">
        <f t="shared" si="0"/>
        <v>40</v>
      </c>
      <c r="AD6" s="37">
        <f t="shared" si="0"/>
        <v>39</v>
      </c>
      <c r="AE6" s="37">
        <f t="shared" si="0"/>
        <v>38</v>
      </c>
      <c r="AF6" s="37">
        <f t="shared" si="0"/>
        <v>37</v>
      </c>
      <c r="AG6" s="37">
        <f t="shared" si="0"/>
        <v>36</v>
      </c>
      <c r="AH6" s="37">
        <f t="shared" si="0"/>
        <v>35</v>
      </c>
      <c r="AI6" s="37">
        <f t="shared" si="0"/>
        <v>34</v>
      </c>
      <c r="AJ6" s="37">
        <f t="shared" si="0"/>
        <v>33</v>
      </c>
      <c r="AK6" s="37">
        <f t="shared" ref="AK6:BN6" si="1">AL6+1</f>
        <v>32</v>
      </c>
      <c r="AL6" s="37">
        <f t="shared" si="1"/>
        <v>31</v>
      </c>
      <c r="AM6" s="37">
        <f t="shared" si="1"/>
        <v>30</v>
      </c>
      <c r="AN6" s="37">
        <f t="shared" si="1"/>
        <v>29</v>
      </c>
      <c r="AO6" s="37">
        <f t="shared" si="1"/>
        <v>28</v>
      </c>
      <c r="AP6" s="37">
        <f t="shared" si="1"/>
        <v>27</v>
      </c>
      <c r="AQ6" s="37">
        <f t="shared" si="1"/>
        <v>26</v>
      </c>
      <c r="AR6" s="37">
        <f t="shared" si="1"/>
        <v>25</v>
      </c>
      <c r="AS6" s="37">
        <f t="shared" si="1"/>
        <v>24</v>
      </c>
      <c r="AT6" s="37">
        <f t="shared" si="1"/>
        <v>23</v>
      </c>
      <c r="AU6" s="37">
        <f t="shared" si="1"/>
        <v>22</v>
      </c>
      <c r="AV6" s="37">
        <f t="shared" si="1"/>
        <v>21</v>
      </c>
      <c r="AW6" s="37">
        <f t="shared" si="1"/>
        <v>20</v>
      </c>
      <c r="AX6" s="37">
        <f t="shared" si="1"/>
        <v>19</v>
      </c>
      <c r="AY6" s="37">
        <f t="shared" si="1"/>
        <v>18</v>
      </c>
      <c r="AZ6" s="37">
        <f t="shared" si="1"/>
        <v>17</v>
      </c>
      <c r="BA6" s="37">
        <f t="shared" si="1"/>
        <v>16</v>
      </c>
      <c r="BB6" s="37">
        <f t="shared" si="1"/>
        <v>15</v>
      </c>
      <c r="BC6" s="37">
        <f t="shared" si="1"/>
        <v>14</v>
      </c>
      <c r="BD6" s="37">
        <f t="shared" si="1"/>
        <v>13</v>
      </c>
      <c r="BE6" s="37">
        <f t="shared" si="1"/>
        <v>12</v>
      </c>
      <c r="BF6" s="37">
        <f t="shared" si="1"/>
        <v>11</v>
      </c>
      <c r="BG6" s="37">
        <f t="shared" si="1"/>
        <v>10</v>
      </c>
      <c r="BH6" s="37">
        <f t="shared" si="1"/>
        <v>9</v>
      </c>
      <c r="BI6" s="37">
        <f t="shared" si="1"/>
        <v>8</v>
      </c>
      <c r="BJ6" s="37">
        <f t="shared" si="1"/>
        <v>7</v>
      </c>
      <c r="BK6" s="37">
        <f t="shared" si="1"/>
        <v>6</v>
      </c>
      <c r="BL6" s="37">
        <f t="shared" si="1"/>
        <v>5</v>
      </c>
      <c r="BM6" s="37">
        <f t="shared" si="1"/>
        <v>4</v>
      </c>
      <c r="BN6" s="37">
        <f t="shared" si="1"/>
        <v>3</v>
      </c>
      <c r="BO6" s="37">
        <f>BP6+1</f>
        <v>2</v>
      </c>
      <c r="BP6" s="37">
        <v>1</v>
      </c>
      <c r="BQ6" s="2" t="s">
        <v>5</v>
      </c>
    </row>
    <row r="7" spans="1:73" x14ac:dyDescent="0.4">
      <c r="A7" s="51"/>
      <c r="B7" s="4" t="s">
        <v>101</v>
      </c>
      <c r="C7" s="48" t="s">
        <v>49</v>
      </c>
      <c r="E7" s="1">
        <f t="shared" ref="E7:AJ7" si="2">F7*2</f>
        <v>9.2233720368547758E+18</v>
      </c>
      <c r="F7" s="1">
        <f t="shared" si="2"/>
        <v>4.6116860184273879E+18</v>
      </c>
      <c r="G7" s="1">
        <f t="shared" si="2"/>
        <v>2.305843009213694E+18</v>
      </c>
      <c r="H7" s="1">
        <f t="shared" si="2"/>
        <v>1.152921504606847E+18</v>
      </c>
      <c r="I7" s="1">
        <f t="shared" si="2"/>
        <v>5.7646075230342349E+17</v>
      </c>
      <c r="J7" s="1">
        <f t="shared" si="2"/>
        <v>2.8823037615171174E+17</v>
      </c>
      <c r="K7" s="1">
        <f t="shared" si="2"/>
        <v>1.4411518807585587E+17</v>
      </c>
      <c r="L7" s="1">
        <f t="shared" si="2"/>
        <v>7.2057594037927936E+16</v>
      </c>
      <c r="M7" s="1">
        <f t="shared" si="2"/>
        <v>3.6028797018963968E+16</v>
      </c>
      <c r="N7" s="1">
        <f t="shared" si="2"/>
        <v>1.8014398509481984E+16</v>
      </c>
      <c r="O7" s="1">
        <f t="shared" si="2"/>
        <v>9007199254740992</v>
      </c>
      <c r="P7" s="1">
        <f t="shared" si="2"/>
        <v>4503599627370496</v>
      </c>
      <c r="Q7" s="1">
        <f t="shared" si="2"/>
        <v>2251799813685248</v>
      </c>
      <c r="R7" s="1">
        <f t="shared" si="2"/>
        <v>1125899906842624</v>
      </c>
      <c r="S7" s="1">
        <f t="shared" si="2"/>
        <v>562949953421312</v>
      </c>
      <c r="T7" s="1">
        <f t="shared" si="2"/>
        <v>281474976710656</v>
      </c>
      <c r="U7" s="1">
        <f t="shared" si="2"/>
        <v>140737488355328</v>
      </c>
      <c r="V7" s="1">
        <f t="shared" si="2"/>
        <v>70368744177664</v>
      </c>
      <c r="W7" s="1">
        <f t="shared" si="2"/>
        <v>35184372088832</v>
      </c>
      <c r="X7" s="1">
        <f t="shared" si="2"/>
        <v>17592186044416</v>
      </c>
      <c r="Y7" s="1">
        <f t="shared" si="2"/>
        <v>8796093022208</v>
      </c>
      <c r="Z7" s="1">
        <f t="shared" si="2"/>
        <v>4398046511104</v>
      </c>
      <c r="AA7" s="1">
        <f t="shared" si="2"/>
        <v>2199023255552</v>
      </c>
      <c r="AB7" s="1">
        <f t="shared" si="2"/>
        <v>1099511627776</v>
      </c>
      <c r="AC7" s="1">
        <f t="shared" si="2"/>
        <v>549755813888</v>
      </c>
      <c r="AD7" s="1">
        <f t="shared" si="2"/>
        <v>274877906944</v>
      </c>
      <c r="AE7" s="1">
        <f t="shared" si="2"/>
        <v>137438953472</v>
      </c>
      <c r="AF7" s="1">
        <f t="shared" si="2"/>
        <v>68719476736</v>
      </c>
      <c r="AG7" s="1">
        <f t="shared" si="2"/>
        <v>34359738368</v>
      </c>
      <c r="AH7" s="1">
        <f t="shared" si="2"/>
        <v>17179869184</v>
      </c>
      <c r="AI7" s="1">
        <f t="shared" si="2"/>
        <v>8589934592</v>
      </c>
      <c r="AJ7" s="1">
        <f t="shared" si="2"/>
        <v>4294967296</v>
      </c>
      <c r="AK7" s="1">
        <f t="shared" ref="AK7:BL7" si="3">AL7*2</f>
        <v>2147483648</v>
      </c>
      <c r="AL7" s="1">
        <f t="shared" si="3"/>
        <v>1073741824</v>
      </c>
      <c r="AM7" s="1">
        <f t="shared" si="3"/>
        <v>536870912</v>
      </c>
      <c r="AN7" s="1">
        <f t="shared" si="3"/>
        <v>268435456</v>
      </c>
      <c r="AO7" s="1">
        <f t="shared" si="3"/>
        <v>134217728</v>
      </c>
      <c r="AP7" s="1">
        <f t="shared" si="3"/>
        <v>67108864</v>
      </c>
      <c r="AQ7" s="1">
        <f t="shared" si="3"/>
        <v>33554432</v>
      </c>
      <c r="AR7" s="1">
        <f t="shared" si="3"/>
        <v>16777216</v>
      </c>
      <c r="AS7" s="1">
        <f t="shared" si="3"/>
        <v>8388608</v>
      </c>
      <c r="AT7" s="1">
        <f t="shared" si="3"/>
        <v>4194304</v>
      </c>
      <c r="AU7" s="1">
        <f t="shared" si="3"/>
        <v>2097152</v>
      </c>
      <c r="AV7" s="1">
        <f t="shared" si="3"/>
        <v>1048576</v>
      </c>
      <c r="AW7" s="1">
        <f t="shared" si="3"/>
        <v>524288</v>
      </c>
      <c r="AX7" s="1">
        <f t="shared" si="3"/>
        <v>262144</v>
      </c>
      <c r="AY7" s="1">
        <f t="shared" si="3"/>
        <v>131072</v>
      </c>
      <c r="AZ7" s="1">
        <f t="shared" si="3"/>
        <v>65536</v>
      </c>
      <c r="BA7" s="1">
        <f t="shared" si="3"/>
        <v>32768</v>
      </c>
      <c r="BB7" s="1">
        <f t="shared" si="3"/>
        <v>16384</v>
      </c>
      <c r="BC7" s="1">
        <f t="shared" si="3"/>
        <v>8192</v>
      </c>
      <c r="BD7" s="1">
        <f t="shared" si="3"/>
        <v>4096</v>
      </c>
      <c r="BE7" s="1">
        <f t="shared" si="3"/>
        <v>2048</v>
      </c>
      <c r="BF7" s="1">
        <f t="shared" si="3"/>
        <v>1024</v>
      </c>
      <c r="BG7" s="1">
        <f t="shared" si="3"/>
        <v>512</v>
      </c>
      <c r="BH7" s="1">
        <f t="shared" si="3"/>
        <v>256</v>
      </c>
      <c r="BI7" s="1">
        <f t="shared" si="3"/>
        <v>128</v>
      </c>
      <c r="BJ7" s="1">
        <f t="shared" si="3"/>
        <v>64</v>
      </c>
      <c r="BK7" s="1">
        <f t="shared" si="3"/>
        <v>32</v>
      </c>
      <c r="BL7" s="1">
        <f t="shared" si="3"/>
        <v>16</v>
      </c>
      <c r="BM7" s="1">
        <f>BN7*2</f>
        <v>8</v>
      </c>
      <c r="BN7" s="1">
        <f>BO7*2</f>
        <v>4</v>
      </c>
      <c r="BO7" s="1">
        <f>BP7*2</f>
        <v>2</v>
      </c>
      <c r="BP7" s="1">
        <v>1</v>
      </c>
    </row>
    <row r="8" spans="1:73" ht="15" thickBot="1" x14ac:dyDescent="0.45">
      <c r="A8" s="51"/>
      <c r="B8" s="4" t="s">
        <v>102</v>
      </c>
      <c r="C8" s="48" t="s">
        <v>49</v>
      </c>
      <c r="E8" s="45" t="s">
        <v>77</v>
      </c>
      <c r="F8" s="45" t="s">
        <v>77</v>
      </c>
      <c r="G8" s="45" t="s">
        <v>77</v>
      </c>
      <c r="H8" s="45" t="s">
        <v>77</v>
      </c>
      <c r="I8" s="45" t="s">
        <v>77</v>
      </c>
      <c r="J8" s="45" t="s">
        <v>77</v>
      </c>
      <c r="K8" s="45" t="s">
        <v>77</v>
      </c>
      <c r="L8" s="45" t="s">
        <v>77</v>
      </c>
      <c r="M8" s="45" t="s">
        <v>77</v>
      </c>
      <c r="N8" s="45" t="s">
        <v>77</v>
      </c>
      <c r="O8" s="45" t="s">
        <v>77</v>
      </c>
      <c r="P8" s="45" t="s">
        <v>77</v>
      </c>
      <c r="Q8" s="45" t="s">
        <v>77</v>
      </c>
      <c r="R8" s="45" t="s">
        <v>77</v>
      </c>
      <c r="S8" s="45" t="s">
        <v>77</v>
      </c>
      <c r="T8" s="45" t="s">
        <v>77</v>
      </c>
      <c r="U8" s="45" t="s">
        <v>77</v>
      </c>
      <c r="V8" s="45" t="s">
        <v>77</v>
      </c>
      <c r="W8" s="45" t="s">
        <v>77</v>
      </c>
      <c r="X8" s="45" t="s">
        <v>77</v>
      </c>
      <c r="Y8" s="45" t="s">
        <v>77</v>
      </c>
      <c r="Z8" s="45" t="s">
        <v>77</v>
      </c>
      <c r="AA8" s="45" t="s">
        <v>77</v>
      </c>
      <c r="AB8" s="45" t="s">
        <v>77</v>
      </c>
      <c r="AC8" s="45" t="s">
        <v>77</v>
      </c>
      <c r="AD8" s="45" t="s">
        <v>77</v>
      </c>
      <c r="AE8" s="45" t="s">
        <v>77</v>
      </c>
      <c r="AF8" s="45" t="s">
        <v>77</v>
      </c>
      <c r="AG8" s="45" t="s">
        <v>77</v>
      </c>
      <c r="AH8" s="45" t="s">
        <v>77</v>
      </c>
      <c r="AI8" s="45" t="s">
        <v>77</v>
      </c>
      <c r="AJ8" s="45" t="s">
        <v>77</v>
      </c>
      <c r="AK8" s="45" t="s">
        <v>77</v>
      </c>
      <c r="AL8" s="45" t="s">
        <v>77</v>
      </c>
      <c r="AM8" s="45" t="s">
        <v>77</v>
      </c>
      <c r="AN8" s="45" t="s">
        <v>77</v>
      </c>
      <c r="AO8" s="45" t="s">
        <v>77</v>
      </c>
      <c r="AP8" s="45" t="s">
        <v>77</v>
      </c>
      <c r="AQ8" s="45" t="s">
        <v>77</v>
      </c>
      <c r="AR8" s="45" t="s">
        <v>77</v>
      </c>
      <c r="AS8" s="45" t="s">
        <v>77</v>
      </c>
      <c r="AT8" s="45" t="s">
        <v>77</v>
      </c>
      <c r="AU8" s="45" t="s">
        <v>77</v>
      </c>
      <c r="AV8" s="45" t="s">
        <v>77</v>
      </c>
      <c r="AW8" s="45" t="s">
        <v>77</v>
      </c>
      <c r="AX8" s="45" t="s">
        <v>77</v>
      </c>
      <c r="AY8" s="45" t="s">
        <v>77</v>
      </c>
      <c r="AZ8" s="45" t="s">
        <v>77</v>
      </c>
      <c r="BA8" s="45" t="s">
        <v>77</v>
      </c>
      <c r="BB8" s="45" t="s">
        <v>77</v>
      </c>
      <c r="BC8" s="45" t="s">
        <v>77</v>
      </c>
      <c r="BD8" s="45" t="s">
        <v>77</v>
      </c>
      <c r="BE8" s="45" t="s">
        <v>77</v>
      </c>
      <c r="BF8" s="45" t="s">
        <v>77</v>
      </c>
      <c r="BG8" s="45" t="s">
        <v>77</v>
      </c>
      <c r="BH8" s="45" t="s">
        <v>77</v>
      </c>
      <c r="BI8" s="45" t="s">
        <v>77</v>
      </c>
      <c r="BJ8" s="45" t="s">
        <v>77</v>
      </c>
      <c r="BK8" s="45" t="s">
        <v>77</v>
      </c>
      <c r="BL8" s="45" t="s">
        <v>77</v>
      </c>
      <c r="BM8" s="45" t="s">
        <v>77</v>
      </c>
      <c r="BN8" s="45" t="s">
        <v>77</v>
      </c>
      <c r="BO8" s="45" t="s">
        <v>77</v>
      </c>
      <c r="BP8" s="45" t="s">
        <v>76</v>
      </c>
      <c r="BQ8" s="32" t="s">
        <v>65</v>
      </c>
      <c r="BR8" s="25"/>
      <c r="BS8" s="25"/>
      <c r="BT8" s="26"/>
    </row>
    <row r="9" spans="1:73" x14ac:dyDescent="0.4">
      <c r="A9" s="51"/>
      <c r="B9" s="4" t="s">
        <v>103</v>
      </c>
      <c r="C9" s="48" t="s">
        <v>49</v>
      </c>
      <c r="E9" s="38" t="s">
        <v>76</v>
      </c>
      <c r="F9" s="39" t="s">
        <v>76</v>
      </c>
      <c r="G9" s="39" t="s">
        <v>76</v>
      </c>
      <c r="H9" s="39" t="s">
        <v>76</v>
      </c>
      <c r="I9" s="39" t="s">
        <v>76</v>
      </c>
      <c r="J9" s="39" t="s">
        <v>76</v>
      </c>
      <c r="K9" s="39" t="s">
        <v>76</v>
      </c>
      <c r="L9" s="39" t="s">
        <v>76</v>
      </c>
      <c r="M9" s="39" t="s">
        <v>76</v>
      </c>
      <c r="N9" s="39" t="s">
        <v>76</v>
      </c>
      <c r="O9" s="39" t="s">
        <v>76</v>
      </c>
      <c r="P9" s="39" t="s">
        <v>76</v>
      </c>
      <c r="Q9" s="39" t="s">
        <v>76</v>
      </c>
      <c r="R9" s="39" t="s">
        <v>76</v>
      </c>
      <c r="S9" s="39" t="s">
        <v>76</v>
      </c>
      <c r="T9" s="39" t="s">
        <v>76</v>
      </c>
      <c r="U9" s="39" t="s">
        <v>76</v>
      </c>
      <c r="V9" s="39" t="s">
        <v>76</v>
      </c>
      <c r="W9" s="39" t="s">
        <v>76</v>
      </c>
      <c r="X9" s="39" t="s">
        <v>76</v>
      </c>
      <c r="Y9" s="39" t="s">
        <v>76</v>
      </c>
      <c r="Z9" s="39" t="s">
        <v>76</v>
      </c>
      <c r="AA9" s="39" t="s">
        <v>76</v>
      </c>
      <c r="AB9" s="39" t="s">
        <v>76</v>
      </c>
      <c r="AC9" s="39" t="s">
        <v>76</v>
      </c>
      <c r="AD9" s="39" t="s">
        <v>76</v>
      </c>
      <c r="AE9" s="39" t="s">
        <v>76</v>
      </c>
      <c r="AF9" s="39" t="s">
        <v>76</v>
      </c>
      <c r="AG9" s="39" t="s">
        <v>76</v>
      </c>
      <c r="AH9" s="39" t="s">
        <v>76</v>
      </c>
      <c r="AI9" s="39" t="s">
        <v>76</v>
      </c>
      <c r="AJ9" s="39" t="s">
        <v>76</v>
      </c>
      <c r="AK9" s="39" t="s">
        <v>76</v>
      </c>
      <c r="AL9" s="39" t="s">
        <v>76</v>
      </c>
      <c r="AM9" s="39" t="s">
        <v>76</v>
      </c>
      <c r="AN9" s="39" t="s">
        <v>76</v>
      </c>
      <c r="AO9" s="39" t="s">
        <v>76</v>
      </c>
      <c r="AP9" s="39" t="s">
        <v>76</v>
      </c>
      <c r="AQ9" s="39" t="s">
        <v>76</v>
      </c>
      <c r="AR9" s="39" t="s">
        <v>76</v>
      </c>
      <c r="AS9" s="39" t="s">
        <v>76</v>
      </c>
      <c r="AT9" s="39" t="s">
        <v>76</v>
      </c>
      <c r="AU9" s="39" t="s">
        <v>76</v>
      </c>
      <c r="AV9" s="39" t="s">
        <v>76</v>
      </c>
      <c r="AW9" s="39" t="s">
        <v>76</v>
      </c>
      <c r="AX9" s="39" t="s">
        <v>76</v>
      </c>
      <c r="AY9" s="39" t="s">
        <v>76</v>
      </c>
      <c r="AZ9" s="39" t="s">
        <v>76</v>
      </c>
      <c r="BA9" s="39" t="s">
        <v>76</v>
      </c>
      <c r="BB9" s="39" t="s">
        <v>76</v>
      </c>
      <c r="BC9" s="39" t="s">
        <v>76</v>
      </c>
      <c r="BD9" s="39" t="s">
        <v>76</v>
      </c>
      <c r="BE9" s="39" t="s">
        <v>76</v>
      </c>
      <c r="BF9" s="39" t="s">
        <v>76</v>
      </c>
      <c r="BG9" s="39" t="s">
        <v>76</v>
      </c>
      <c r="BH9" s="39" t="s">
        <v>76</v>
      </c>
      <c r="BI9" s="39" t="s">
        <v>76</v>
      </c>
      <c r="BJ9" s="39" t="s">
        <v>76</v>
      </c>
      <c r="BK9" s="39" t="s">
        <v>76</v>
      </c>
      <c r="BL9" s="39" t="s">
        <v>76</v>
      </c>
      <c r="BM9" s="39" t="s">
        <v>76</v>
      </c>
      <c r="BN9" s="39" t="s">
        <v>76</v>
      </c>
      <c r="BO9" s="39" t="s">
        <v>76</v>
      </c>
      <c r="BP9" s="40" t="s">
        <v>77</v>
      </c>
      <c r="BQ9" s="25" t="s">
        <v>32</v>
      </c>
      <c r="BR9" s="25"/>
      <c r="BS9" s="25"/>
      <c r="BT9" s="26"/>
    </row>
    <row r="10" spans="1:73" ht="15" thickBot="1" x14ac:dyDescent="0.45">
      <c r="A10" s="51"/>
      <c r="B10" s="4" t="s">
        <v>104</v>
      </c>
      <c r="C10" s="48" t="s">
        <v>49</v>
      </c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4" t="s">
        <v>76</v>
      </c>
      <c r="BQ10" s="13" t="s">
        <v>67</v>
      </c>
      <c r="BR10" s="13"/>
      <c r="BS10" s="13"/>
      <c r="BT10" s="26"/>
    </row>
    <row r="11" spans="1:73" x14ac:dyDescent="0.4">
      <c r="A11" s="51"/>
      <c r="B11" s="4" t="s">
        <v>105</v>
      </c>
      <c r="C11" s="48" t="s">
        <v>49</v>
      </c>
      <c r="E11" s="45" t="s">
        <v>76</v>
      </c>
      <c r="F11" s="45" t="s">
        <v>76</v>
      </c>
      <c r="G11" s="45" t="s">
        <v>76</v>
      </c>
      <c r="H11" s="45" t="s">
        <v>76</v>
      </c>
      <c r="I11" s="45" t="s">
        <v>76</v>
      </c>
      <c r="J11" s="45" t="s">
        <v>76</v>
      </c>
      <c r="K11" s="45" t="s">
        <v>76</v>
      </c>
      <c r="L11" s="45" t="s">
        <v>76</v>
      </c>
      <c r="M11" s="45" t="s">
        <v>76</v>
      </c>
      <c r="N11" s="45" t="s">
        <v>76</v>
      </c>
      <c r="O11" s="45" t="s">
        <v>76</v>
      </c>
      <c r="P11" s="45" t="s">
        <v>76</v>
      </c>
      <c r="Q11" s="45" t="s">
        <v>76</v>
      </c>
      <c r="R11" s="45" t="s">
        <v>76</v>
      </c>
      <c r="S11" s="45" t="s">
        <v>76</v>
      </c>
      <c r="T11" s="45" t="s">
        <v>76</v>
      </c>
      <c r="U11" s="45" t="s">
        <v>76</v>
      </c>
      <c r="V11" s="45" t="s">
        <v>76</v>
      </c>
      <c r="W11" s="45" t="s">
        <v>76</v>
      </c>
      <c r="X11" s="45" t="s">
        <v>76</v>
      </c>
      <c r="Y11" s="45" t="s">
        <v>76</v>
      </c>
      <c r="Z11" s="45" t="s">
        <v>76</v>
      </c>
      <c r="AA11" s="45" t="s">
        <v>76</v>
      </c>
      <c r="AB11" s="45" t="s">
        <v>76</v>
      </c>
      <c r="AC11" s="45" t="s">
        <v>76</v>
      </c>
      <c r="AD11" s="45" t="s">
        <v>76</v>
      </c>
      <c r="AE11" s="45" t="s">
        <v>76</v>
      </c>
      <c r="AF11" s="45" t="s">
        <v>76</v>
      </c>
      <c r="AG11" s="45" t="s">
        <v>76</v>
      </c>
      <c r="AH11" s="45" t="s">
        <v>76</v>
      </c>
      <c r="AI11" s="45" t="s">
        <v>76</v>
      </c>
      <c r="AJ11" s="45" t="s">
        <v>76</v>
      </c>
      <c r="AK11" s="45" t="s">
        <v>76</v>
      </c>
      <c r="AL11" s="45" t="s">
        <v>76</v>
      </c>
      <c r="AM11" s="45" t="s">
        <v>76</v>
      </c>
      <c r="AN11" s="45" t="s">
        <v>76</v>
      </c>
      <c r="AO11" s="45" t="s">
        <v>76</v>
      </c>
      <c r="AP11" s="45" t="s">
        <v>76</v>
      </c>
      <c r="AQ11" s="45" t="s">
        <v>76</v>
      </c>
      <c r="AR11" s="45" t="s">
        <v>76</v>
      </c>
      <c r="AS11" s="45" t="s">
        <v>76</v>
      </c>
      <c r="AT11" s="45" t="s">
        <v>76</v>
      </c>
      <c r="AU11" s="45" t="s">
        <v>76</v>
      </c>
      <c r="AV11" s="45" t="s">
        <v>76</v>
      </c>
      <c r="AW11" s="45" t="s">
        <v>76</v>
      </c>
      <c r="AX11" s="45" t="s">
        <v>76</v>
      </c>
      <c r="AY11" s="45" t="s">
        <v>76</v>
      </c>
      <c r="AZ11" s="45" t="s">
        <v>76</v>
      </c>
      <c r="BA11" s="45" t="s">
        <v>76</v>
      </c>
      <c r="BB11" s="45" t="s">
        <v>76</v>
      </c>
      <c r="BC11" s="45" t="s">
        <v>76</v>
      </c>
      <c r="BD11" s="45" t="s">
        <v>76</v>
      </c>
      <c r="BE11" s="45" t="s">
        <v>76</v>
      </c>
      <c r="BF11" s="45" t="s">
        <v>76</v>
      </c>
      <c r="BG11" s="45" t="s">
        <v>76</v>
      </c>
      <c r="BH11" s="45" t="s">
        <v>76</v>
      </c>
      <c r="BI11" s="45" t="s">
        <v>76</v>
      </c>
      <c r="BJ11" s="45" t="s">
        <v>76</v>
      </c>
      <c r="BK11" s="45" t="s">
        <v>76</v>
      </c>
      <c r="BL11" s="45" t="s">
        <v>76</v>
      </c>
      <c r="BM11" s="45" t="s">
        <v>76</v>
      </c>
      <c r="BN11" s="45" t="s">
        <v>76</v>
      </c>
      <c r="BO11" s="45" t="s">
        <v>76</v>
      </c>
      <c r="BP11" s="45" t="s">
        <v>76</v>
      </c>
      <c r="BQ11" s="13"/>
      <c r="BR11" s="13"/>
      <c r="BS11" s="13" t="s">
        <v>68</v>
      </c>
      <c r="BT11" s="26"/>
      <c r="BU11" s="2" t="s">
        <v>78</v>
      </c>
    </row>
    <row r="12" spans="1:73" x14ac:dyDescent="0.4">
      <c r="A12" s="33" t="s">
        <v>72</v>
      </c>
      <c r="B12" s="4" t="s">
        <v>106</v>
      </c>
      <c r="C12" s="24" t="s">
        <v>49</v>
      </c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13"/>
      <c r="BR12" s="13"/>
      <c r="BS12" s="13"/>
      <c r="BT12" s="26"/>
    </row>
    <row r="13" spans="1:73" x14ac:dyDescent="0.4">
      <c r="A13" s="33"/>
      <c r="B13" s="4" t="s">
        <v>107</v>
      </c>
      <c r="C13" s="24" t="s">
        <v>49</v>
      </c>
      <c r="E13" s="1" t="s">
        <v>60</v>
      </c>
      <c r="L13" s="1" t="s">
        <v>62</v>
      </c>
      <c r="AB13" s="46"/>
      <c r="AC13" s="46"/>
      <c r="AD13" s="46"/>
      <c r="AE13" s="46"/>
      <c r="AF13" s="46"/>
      <c r="AG13" s="45"/>
      <c r="AH13" s="45"/>
      <c r="AI13" s="45"/>
      <c r="AJ13" s="45"/>
      <c r="BH13" s="46"/>
      <c r="BI13" s="46"/>
      <c r="BJ13" s="46"/>
      <c r="BK13" s="46"/>
      <c r="BL13" s="46"/>
      <c r="BM13" s="45"/>
      <c r="BN13" s="45"/>
      <c r="BO13" s="45"/>
      <c r="BP13" s="45"/>
      <c r="BQ13" s="21"/>
    </row>
    <row r="14" spans="1:73" x14ac:dyDescent="0.4">
      <c r="A14" s="33"/>
      <c r="B14" s="4" t="s">
        <v>92</v>
      </c>
      <c r="C14" s="24" t="s">
        <v>49</v>
      </c>
      <c r="E14" s="1" t="s">
        <v>61</v>
      </c>
      <c r="L14" s="1" t="s">
        <v>63</v>
      </c>
      <c r="M14" s="1" t="s">
        <v>64</v>
      </c>
    </row>
    <row r="15" spans="1:73" x14ac:dyDescent="0.4">
      <c r="A15" s="33"/>
      <c r="B15" s="4" t="s">
        <v>93</v>
      </c>
      <c r="C15" s="24" t="s">
        <v>49</v>
      </c>
    </row>
    <row r="16" spans="1:73" x14ac:dyDescent="0.4">
      <c r="A16" s="33"/>
      <c r="B16" s="4" t="s">
        <v>94</v>
      </c>
      <c r="C16" s="24" t="s">
        <v>49</v>
      </c>
    </row>
    <row r="17" spans="1:4" x14ac:dyDescent="0.4">
      <c r="A17" s="33"/>
      <c r="B17" s="4" t="s">
        <v>95</v>
      </c>
      <c r="C17" s="24" t="s">
        <v>49</v>
      </c>
    </row>
    <row r="18" spans="1:4" x14ac:dyDescent="0.4">
      <c r="A18" s="33"/>
      <c r="B18" s="4" t="s">
        <v>96</v>
      </c>
      <c r="C18" s="24" t="s">
        <v>49</v>
      </c>
    </row>
    <row r="19" spans="1:4" ht="15" thickBot="1" x14ac:dyDescent="0.45">
      <c r="A19" s="33"/>
      <c r="B19" s="14" t="s">
        <v>97</v>
      </c>
      <c r="C19" s="35" t="s">
        <v>49</v>
      </c>
    </row>
    <row r="20" spans="1:4" ht="15" thickBot="1" x14ac:dyDescent="0.45">
      <c r="A20" s="51" t="s">
        <v>73</v>
      </c>
      <c r="B20" s="17" t="s">
        <v>108</v>
      </c>
      <c r="C20" s="49" t="s">
        <v>81</v>
      </c>
      <c r="D20" s="2" t="s">
        <v>222</v>
      </c>
    </row>
    <row r="21" spans="1:4" ht="15" thickBot="1" x14ac:dyDescent="0.45">
      <c r="A21" s="51"/>
      <c r="B21" s="14" t="s">
        <v>109</v>
      </c>
      <c r="C21" s="50" t="s">
        <v>82</v>
      </c>
      <c r="D21" s="2" t="s">
        <v>221</v>
      </c>
    </row>
    <row r="22" spans="1:4" ht="15" thickBot="1" x14ac:dyDescent="0.45">
      <c r="A22" s="51"/>
      <c r="B22" s="14" t="s">
        <v>110</v>
      </c>
      <c r="C22" s="53" t="s">
        <v>83</v>
      </c>
      <c r="D22" s="2" t="s">
        <v>226</v>
      </c>
    </row>
    <row r="23" spans="1:4" ht="15" thickBot="1" x14ac:dyDescent="0.45">
      <c r="A23" s="51"/>
      <c r="B23" s="14" t="s">
        <v>111</v>
      </c>
      <c r="C23" s="53" t="s">
        <v>84</v>
      </c>
      <c r="D23" s="2" t="s">
        <v>228</v>
      </c>
    </row>
    <row r="24" spans="1:4" ht="15" thickBot="1" x14ac:dyDescent="0.45">
      <c r="A24" s="51"/>
      <c r="B24" s="14" t="s">
        <v>112</v>
      </c>
      <c r="C24" s="53" t="s">
        <v>85</v>
      </c>
      <c r="D24" s="2" t="s">
        <v>220</v>
      </c>
    </row>
    <row r="25" spans="1:4" ht="15" thickBot="1" x14ac:dyDescent="0.45">
      <c r="A25" s="51"/>
      <c r="B25" s="14" t="s">
        <v>113</v>
      </c>
      <c r="C25" s="53" t="s">
        <v>46</v>
      </c>
      <c r="D25" s="2" t="s">
        <v>223</v>
      </c>
    </row>
    <row r="26" spans="1:4" x14ac:dyDescent="0.4">
      <c r="A26" s="51"/>
      <c r="B26" s="52" t="s">
        <v>114</v>
      </c>
      <c r="C26" s="53" t="s">
        <v>43</v>
      </c>
      <c r="D26" s="2" t="s">
        <v>229</v>
      </c>
    </row>
    <row r="27" spans="1:4" x14ac:dyDescent="0.4">
      <c r="A27" s="51"/>
      <c r="B27" s="52" t="s">
        <v>115</v>
      </c>
      <c r="C27" s="53" t="s">
        <v>42</v>
      </c>
      <c r="D27" s="2" t="s">
        <v>230</v>
      </c>
    </row>
    <row r="28" spans="1:4" x14ac:dyDescent="0.4">
      <c r="A28" s="33" t="s">
        <v>74</v>
      </c>
      <c r="B28" s="55" t="s">
        <v>116</v>
      </c>
      <c r="C28" s="36" t="s">
        <v>53</v>
      </c>
      <c r="D28" s="2">
        <v>0</v>
      </c>
    </row>
    <row r="29" spans="1:4" x14ac:dyDescent="0.4">
      <c r="A29" s="33"/>
      <c r="B29" s="55" t="s">
        <v>117</v>
      </c>
      <c r="C29" s="36" t="s">
        <v>50</v>
      </c>
      <c r="D29" s="2">
        <v>1</v>
      </c>
    </row>
    <row r="30" spans="1:4" x14ac:dyDescent="0.4">
      <c r="A30" s="33"/>
      <c r="B30" s="55" t="s">
        <v>118</v>
      </c>
      <c r="C30" s="36" t="s">
        <v>51</v>
      </c>
      <c r="D30" s="2">
        <v>2</v>
      </c>
    </row>
    <row r="31" spans="1:4" x14ac:dyDescent="0.4">
      <c r="A31" s="33"/>
      <c r="B31" s="55" t="s">
        <v>119</v>
      </c>
      <c r="C31" s="36" t="s">
        <v>52</v>
      </c>
      <c r="D31" s="2">
        <v>3</v>
      </c>
    </row>
    <row r="32" spans="1:4" x14ac:dyDescent="0.4">
      <c r="A32" s="33"/>
      <c r="B32" s="55" t="s">
        <v>120</v>
      </c>
      <c r="C32" s="36" t="s">
        <v>48</v>
      </c>
      <c r="D32" s="2">
        <v>4</v>
      </c>
    </row>
    <row r="33" spans="1:4" x14ac:dyDescent="0.4">
      <c r="A33" s="33"/>
      <c r="B33" s="55" t="s">
        <v>121</v>
      </c>
      <c r="C33" s="36" t="s">
        <v>55</v>
      </c>
      <c r="D33" s="2">
        <v>5</v>
      </c>
    </row>
    <row r="34" spans="1:4" x14ac:dyDescent="0.4">
      <c r="A34" s="33"/>
      <c r="B34" s="55" t="s">
        <v>122</v>
      </c>
      <c r="C34" s="36" t="s">
        <v>56</v>
      </c>
      <c r="D34" s="2">
        <v>6</v>
      </c>
    </row>
    <row r="35" spans="1:4" x14ac:dyDescent="0.4">
      <c r="A35" s="33"/>
      <c r="B35" s="55" t="s">
        <v>123</v>
      </c>
      <c r="C35" s="36" t="s">
        <v>57</v>
      </c>
      <c r="D35" s="2">
        <v>7</v>
      </c>
    </row>
    <row r="36" spans="1:4" x14ac:dyDescent="0.4">
      <c r="A36" s="56"/>
      <c r="B36" s="54" t="s">
        <v>124</v>
      </c>
      <c r="C36" s="57" t="s">
        <v>58</v>
      </c>
      <c r="D36" s="2">
        <v>8</v>
      </c>
    </row>
    <row r="37" spans="1:4" x14ac:dyDescent="0.4">
      <c r="A37" s="56"/>
      <c r="B37" s="54" t="s">
        <v>125</v>
      </c>
      <c r="C37" s="57" t="s">
        <v>86</v>
      </c>
    </row>
    <row r="38" spans="1:4" x14ac:dyDescent="0.4">
      <c r="A38" s="56"/>
      <c r="B38" s="54" t="s">
        <v>126</v>
      </c>
      <c r="C38" s="57" t="s">
        <v>86</v>
      </c>
    </row>
    <row r="39" spans="1:4" x14ac:dyDescent="0.4">
      <c r="A39" s="56"/>
      <c r="B39" s="54" t="s">
        <v>127</v>
      </c>
      <c r="C39" s="57" t="s">
        <v>86</v>
      </c>
    </row>
    <row r="40" spans="1:4" x14ac:dyDescent="0.4">
      <c r="A40" s="56"/>
      <c r="B40" s="54" t="s">
        <v>128</v>
      </c>
      <c r="C40" s="57" t="s">
        <v>86</v>
      </c>
    </row>
    <row r="41" spans="1:4" x14ac:dyDescent="0.4">
      <c r="A41" s="56"/>
      <c r="B41" s="54" t="s">
        <v>129</v>
      </c>
      <c r="C41" s="57" t="s">
        <v>86</v>
      </c>
    </row>
    <row r="42" spans="1:4" x14ac:dyDescent="0.4">
      <c r="A42" s="56"/>
      <c r="B42" s="54" t="s">
        <v>130</v>
      </c>
      <c r="C42" s="57" t="s">
        <v>86</v>
      </c>
    </row>
    <row r="43" spans="1:4" x14ac:dyDescent="0.4">
      <c r="A43" s="56"/>
      <c r="B43" s="54" t="s">
        <v>131</v>
      </c>
      <c r="C43" s="57" t="s">
        <v>86</v>
      </c>
    </row>
    <row r="44" spans="1:4" x14ac:dyDescent="0.4">
      <c r="A44" s="33" t="s">
        <v>75</v>
      </c>
      <c r="B44" s="97" t="s">
        <v>132</v>
      </c>
      <c r="C44" s="98" t="s">
        <v>79</v>
      </c>
      <c r="D44" s="2" t="s">
        <v>227</v>
      </c>
    </row>
    <row r="45" spans="1:4" x14ac:dyDescent="0.4">
      <c r="A45" s="33"/>
      <c r="B45" s="97" t="s">
        <v>133</v>
      </c>
      <c r="C45" s="98" t="s">
        <v>80</v>
      </c>
      <c r="D45" s="2" t="s">
        <v>231</v>
      </c>
    </row>
    <row r="46" spans="1:4" x14ac:dyDescent="0.4">
      <c r="A46" s="33"/>
      <c r="B46" s="97" t="s">
        <v>134</v>
      </c>
      <c r="C46" s="98" t="s">
        <v>87</v>
      </c>
      <c r="D46" s="2" t="s">
        <v>232</v>
      </c>
    </row>
    <row r="47" spans="1:4" x14ac:dyDescent="0.4">
      <c r="A47" s="33"/>
      <c r="B47" s="97" t="s">
        <v>135</v>
      </c>
      <c r="C47" s="98" t="s">
        <v>88</v>
      </c>
      <c r="D47" s="2" t="s">
        <v>219</v>
      </c>
    </row>
    <row r="48" spans="1:4" x14ac:dyDescent="0.4">
      <c r="A48" s="33"/>
      <c r="B48" s="97" t="s">
        <v>136</v>
      </c>
      <c r="C48" s="98" t="s">
        <v>89</v>
      </c>
      <c r="D48" s="2" t="s">
        <v>233</v>
      </c>
    </row>
    <row r="49" spans="1:4" x14ac:dyDescent="0.4">
      <c r="A49" s="33"/>
      <c r="B49" s="97" t="s">
        <v>137</v>
      </c>
      <c r="C49" s="98" t="s">
        <v>54</v>
      </c>
      <c r="D49" s="2" t="s">
        <v>234</v>
      </c>
    </row>
    <row r="50" spans="1:4" x14ac:dyDescent="0.4">
      <c r="A50" s="33"/>
      <c r="B50" s="97" t="s">
        <v>138</v>
      </c>
      <c r="C50" s="98" t="s">
        <v>90</v>
      </c>
      <c r="D50" s="2" t="s">
        <v>235</v>
      </c>
    </row>
    <row r="51" spans="1:4" x14ac:dyDescent="0.4">
      <c r="A51" s="33"/>
      <c r="B51" s="97" t="s">
        <v>139</v>
      </c>
      <c r="C51" s="98" t="s">
        <v>91</v>
      </c>
      <c r="D51" s="2" t="s">
        <v>236</v>
      </c>
    </row>
    <row r="52" spans="1:4" x14ac:dyDescent="0.4">
      <c r="A52" s="33"/>
      <c r="B52" s="55"/>
      <c r="C52" s="36"/>
    </row>
    <row r="55" spans="1:4" x14ac:dyDescent="0.4">
      <c r="A55" s="25" t="s">
        <v>142</v>
      </c>
    </row>
    <row r="56" spans="1:4" x14ac:dyDescent="0.4">
      <c r="A56" s="25" t="s">
        <v>186</v>
      </c>
    </row>
    <row r="57" spans="1:4" x14ac:dyDescent="0.4">
      <c r="A57" s="25" t="s">
        <v>187</v>
      </c>
    </row>
    <row r="58" spans="1:4" x14ac:dyDescent="0.4">
      <c r="A58" s="25" t="s">
        <v>142</v>
      </c>
    </row>
    <row r="59" spans="1:4" x14ac:dyDescent="0.4">
      <c r="A59" s="25" t="s">
        <v>146</v>
      </c>
    </row>
    <row r="60" spans="1:4" x14ac:dyDescent="0.4">
      <c r="A60" s="25" t="s">
        <v>145</v>
      </c>
    </row>
    <row r="61" spans="1:4" x14ac:dyDescent="0.4">
      <c r="A61" s="25" t="s">
        <v>147</v>
      </c>
    </row>
    <row r="62" spans="1:4" x14ac:dyDescent="0.4">
      <c r="A62" s="25" t="s">
        <v>71</v>
      </c>
      <c r="B62" s="1" t="s">
        <v>188</v>
      </c>
    </row>
    <row r="63" spans="1:4" x14ac:dyDescent="0.4">
      <c r="A63" s="25" t="s">
        <v>189</v>
      </c>
    </row>
    <row r="64" spans="1:4" x14ac:dyDescent="0.4">
      <c r="A64" s="25" t="s">
        <v>190</v>
      </c>
    </row>
    <row r="65" spans="1:1" x14ac:dyDescent="0.4">
      <c r="A65" s="25" t="s">
        <v>191</v>
      </c>
    </row>
    <row r="66" spans="1:1" x14ac:dyDescent="0.4">
      <c r="A66" s="25" t="s">
        <v>192</v>
      </c>
    </row>
    <row r="67" spans="1:1" x14ac:dyDescent="0.4">
      <c r="A67" s="25" t="s">
        <v>158</v>
      </c>
    </row>
    <row r="68" spans="1:1" x14ac:dyDescent="0.4">
      <c r="A68" s="25" t="s">
        <v>159</v>
      </c>
    </row>
    <row r="69" spans="1:1" x14ac:dyDescent="0.4">
      <c r="A69" s="25" t="s">
        <v>160</v>
      </c>
    </row>
    <row r="70" spans="1:1" x14ac:dyDescent="0.4">
      <c r="A70" s="25" t="s">
        <v>161</v>
      </c>
    </row>
    <row r="71" spans="1:1" x14ac:dyDescent="0.4">
      <c r="A71" s="25" t="s">
        <v>213</v>
      </c>
    </row>
    <row r="72" spans="1:1" x14ac:dyDescent="0.4">
      <c r="A72" s="25" t="s">
        <v>163</v>
      </c>
    </row>
    <row r="73" spans="1:1" x14ac:dyDescent="0.4">
      <c r="A73" s="25" t="s">
        <v>164</v>
      </c>
    </row>
    <row r="74" spans="1:1" x14ac:dyDescent="0.4">
      <c r="A74" s="25" t="s">
        <v>165</v>
      </c>
    </row>
    <row r="75" spans="1:1" x14ac:dyDescent="0.4">
      <c r="A75" s="25" t="s">
        <v>205</v>
      </c>
    </row>
    <row r="76" spans="1:1" x14ac:dyDescent="0.4">
      <c r="A76" s="25" t="s">
        <v>206</v>
      </c>
    </row>
    <row r="77" spans="1:1" x14ac:dyDescent="0.4">
      <c r="A77" s="25" t="s">
        <v>207</v>
      </c>
    </row>
    <row r="78" spans="1:1" x14ac:dyDescent="0.4">
      <c r="A78" s="25" t="s">
        <v>208</v>
      </c>
    </row>
    <row r="79" spans="1:1" x14ac:dyDescent="0.4">
      <c r="A79" s="25" t="s">
        <v>209</v>
      </c>
    </row>
    <row r="80" spans="1:1" x14ac:dyDescent="0.4">
      <c r="A80" s="25" t="s">
        <v>210</v>
      </c>
    </row>
    <row r="81" spans="1:1" x14ac:dyDescent="0.4">
      <c r="A81" s="25" t="s">
        <v>211</v>
      </c>
    </row>
    <row r="82" spans="1:1" x14ac:dyDescent="0.4">
      <c r="A82" s="25" t="s">
        <v>212</v>
      </c>
    </row>
    <row r="83" spans="1:1" x14ac:dyDescent="0.4">
      <c r="A83" s="2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MEMORIA DB</vt:lpstr>
      <vt:lpstr>MEMORIA DW</vt:lpstr>
      <vt:lpstr>MEMORIA DD</vt:lpstr>
      <vt:lpstr>MEMORIA DQ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</dc:creator>
  <cp:lastModifiedBy>USUARIO</cp:lastModifiedBy>
  <dcterms:created xsi:type="dcterms:W3CDTF">2020-10-05T11:52:39Z</dcterms:created>
  <dcterms:modified xsi:type="dcterms:W3CDTF">2026-04-25T14:00:55Z</dcterms:modified>
</cp:coreProperties>
</file>